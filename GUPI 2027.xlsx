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UPI\"/>
    </mc:Choice>
  </mc:AlternateContent>
  <bookViews>
    <workbookView xWindow="0" yWindow="0" windowWidth="3804" windowHeight="1944"/>
  </bookViews>
  <sheets>
    <sheet name="Sheet2" sheetId="1" r:id="rId1"/>
  </sheets>
  <calcPr calcId="162913"/>
  <extLst>
    <ext uri="GoogleSheetsCustomDataVersion2">
      <go:sheetsCustomData xmlns:go="http://customooxmlschemas.google.com/" r:id="rId5" roundtripDataChecksum="tN3RyvsLwdklYWrqaYQHHUxt9x9nZhvcUbVqOFdD2MY="/>
    </ext>
  </extLst>
</workbook>
</file>

<file path=xl/calcChain.xml><?xml version="1.0" encoding="utf-8"?>
<calcChain xmlns="http://schemas.openxmlformats.org/spreadsheetml/2006/main">
  <c r="H65" i="1" l="1"/>
  <c r="M62" i="1"/>
  <c r="H6" i="1"/>
</calcChain>
</file>

<file path=xl/sharedStrings.xml><?xml version="1.0" encoding="utf-8"?>
<sst xmlns="http://schemas.openxmlformats.org/spreadsheetml/2006/main" count="678" uniqueCount="210">
  <si>
    <t>اسم الجامعة</t>
  </si>
  <si>
    <t>Founded</t>
  </si>
  <si>
    <t>Country</t>
  </si>
  <si>
    <t>Articles2025</t>
  </si>
  <si>
    <t xml:space="preserve">Shanghai Ranking
2025 </t>
  </si>
  <si>
    <t>THE  2026</t>
  </si>
  <si>
    <t>AD Scientific Index</t>
  </si>
  <si>
    <t>QS 2027</t>
  </si>
  <si>
    <t>Arabic  Ranking 2025</t>
  </si>
  <si>
    <t>Scimago2026</t>
  </si>
  <si>
    <t>CWTS  2025</t>
  </si>
  <si>
    <t>world rank UniRank 2026</t>
  </si>
  <si>
    <t>QS ARAB  2026</t>
  </si>
  <si>
    <t>THE ARAB 2026</t>
  </si>
  <si>
    <t>US NewsRanking’s2026</t>
  </si>
  <si>
    <t>UniRank Arabic2026
2025</t>
  </si>
  <si>
    <t>THE IMPACT  2025</t>
  </si>
  <si>
    <t>UI GreenMetric </t>
  </si>
  <si>
    <t>CENTER FOR WORLD UNIVERSITY RANKINGS2026</t>
  </si>
  <si>
    <t xml:space="preserve">ScholarGPS  2025 </t>
  </si>
  <si>
    <t>Wround ranking RUR</t>
  </si>
  <si>
    <t xml:space="preserve"> Global University Visibility Rankings (GUV)</t>
  </si>
  <si>
    <t>جامعة الملك عبد الله للعلوم والتقنية</t>
  </si>
  <si>
    <t>Saudi Arabia</t>
  </si>
  <si>
    <t>201-300</t>
  </si>
  <si>
    <t>ـ</t>
  </si>
  <si>
    <t>281 </t>
  </si>
  <si>
    <t>جامعة الملك عبد العزيز</t>
  </si>
  <si>
    <t>501-600</t>
  </si>
  <si>
    <t>351-400</t>
  </si>
  <si>
    <t>975 </t>
  </si>
  <si>
    <t>جامعة الملك سعود</t>
  </si>
  <si>
    <t>101-150</t>
  </si>
  <si>
    <t>251-300</t>
  </si>
  <si>
    <t>146 </t>
  </si>
  <si>
    <t>801-1000</t>
  </si>
  <si>
    <t>417 </t>
  </si>
  <si>
    <t>جامعة القاهرة</t>
  </si>
  <si>
    <t>Egypt</t>
  </si>
  <si>
    <t>401-500</t>
  </si>
  <si>
    <t>401-600</t>
  </si>
  <si>
    <t>جامعة الشارقة</t>
  </si>
  <si>
    <t>United Arab Emirates</t>
  </si>
  <si>
    <t>901-1000</t>
  </si>
  <si>
    <t>301-350</t>
  </si>
  <si>
    <t>710 </t>
  </si>
  <si>
    <t xml:space="preserve">جامعة قطر </t>
  </si>
  <si>
    <t>Qatar</t>
  </si>
  <si>
    <t>201–250</t>
  </si>
  <si>
    <t>1163 </t>
  </si>
  <si>
    <t>101-200</t>
  </si>
  <si>
    <t>جامعة المنصورة</t>
  </si>
  <si>
    <t>601-700</t>
  </si>
  <si>
    <t>1001-1200</t>
  </si>
  <si>
    <t>4291 </t>
  </si>
  <si>
    <t>جامعة الأزهر</t>
  </si>
  <si>
    <t>701-800</t>
  </si>
  <si>
    <r>
      <rPr>
        <sz val="14"/>
        <color theme="1"/>
        <rFont val="Hk_groteskregular"/>
      </rPr>
      <t>5048</t>
    </r>
    <r>
      <rPr>
        <sz val="8"/>
        <color theme="1"/>
        <rFont val="Tahoma"/>
      </rPr>
      <t> </t>
    </r>
  </si>
  <si>
    <t>1001-1500</t>
  </si>
  <si>
    <t>جامعة الإمارات العربية المتحدة</t>
  </si>
  <si>
    <t>1522 </t>
  </si>
  <si>
    <t>728 </t>
  </si>
  <si>
    <t>جامعة عين شمس</t>
  </si>
  <si>
    <r>
      <rPr>
        <sz val="14"/>
        <color theme="1"/>
        <rFont val="Hk_groteskregular"/>
      </rPr>
      <t>1836</t>
    </r>
    <r>
      <rPr>
        <sz val="8"/>
        <color theme="1"/>
        <rFont val="Tahoma"/>
      </rPr>
      <t> </t>
    </r>
  </si>
  <si>
    <t>301-400</t>
  </si>
  <si>
    <t>جامعة الإسكندرية</t>
  </si>
  <si>
    <t>801-850</t>
  </si>
  <si>
    <r>
      <rPr>
        <sz val="14"/>
        <color theme="1"/>
        <rFont val="Hk_groteskregular"/>
      </rPr>
      <t>2709</t>
    </r>
    <r>
      <rPr>
        <sz val="8"/>
        <color theme="1"/>
        <rFont val="Tahoma"/>
      </rPr>
      <t> </t>
    </r>
  </si>
  <si>
    <t>جامعة الزقازيق</t>
  </si>
  <si>
    <t>1201-1400</t>
  </si>
  <si>
    <t> 4777</t>
  </si>
  <si>
    <t>جامعة الملك خالد</t>
  </si>
  <si>
    <t>3240 </t>
  </si>
  <si>
    <t>جامعة الملك فهد للبترول و المعادن</t>
  </si>
  <si>
    <t>1212 </t>
  </si>
  <si>
    <t>421 </t>
  </si>
  <si>
    <t>جامعة خليفة</t>
  </si>
  <si>
    <t>201-250</t>
  </si>
  <si>
    <t>1849 </t>
  </si>
  <si>
    <t>472 </t>
  </si>
  <si>
    <t>جامعة أسيوط</t>
  </si>
  <si>
    <t>1201-1500</t>
  </si>
  <si>
    <t>1590 </t>
  </si>
  <si>
    <t>جامعة طنطا</t>
  </si>
  <si>
    <t>1401+</t>
  </si>
  <si>
    <t>601-800</t>
  </si>
  <si>
    <t>جامعة كفر الشيخ</t>
  </si>
  <si>
    <t>151-160</t>
  </si>
  <si>
    <t>جامعة الأميرة نورة بنت عبد الرحمن</t>
  </si>
  <si>
    <t>3751 </t>
  </si>
  <si>
    <t>جامعة الطائف</t>
  </si>
  <si>
    <t>851-900</t>
  </si>
  <si>
    <t>3823 </t>
  </si>
  <si>
    <t>1729 </t>
  </si>
  <si>
    <t xml:space="preserve">جامعة الامير سطام </t>
  </si>
  <si>
    <t>4477 </t>
  </si>
  <si>
    <t>1987 </t>
  </si>
  <si>
    <t>جامعة الملك فيصل</t>
  </si>
  <si>
    <t>801-900</t>
  </si>
  <si>
    <t>2002 </t>
  </si>
  <si>
    <t>1530 </t>
  </si>
  <si>
    <t>جامعة الأمير سلطان</t>
  </si>
  <si>
    <t>4835 </t>
  </si>
  <si>
    <t>1317 </t>
  </si>
  <si>
    <t xml:space="preserve">جامعة ام القرى </t>
  </si>
  <si>
    <t>741-750</t>
  </si>
  <si>
    <t>1953 </t>
  </si>
  <si>
    <t>1870 </t>
  </si>
  <si>
    <t>جامعة الامام عبدالرحمن بن فيصل</t>
  </si>
  <si>
    <t>2851 </t>
  </si>
  <si>
    <t>الجامعة الأردنية</t>
  </si>
  <si>
    <t>Jordan</t>
  </si>
  <si>
    <t>601–800</t>
  </si>
  <si>
    <r>
      <rPr>
        <sz val="14"/>
        <color theme="1"/>
        <rFont val="Hk_groteskregular"/>
      </rPr>
      <t>1046</t>
    </r>
    <r>
      <rPr>
        <sz val="8"/>
        <color rgb="FF6C757D"/>
        <rFont val="Tahoma"/>
      </rPr>
      <t> </t>
    </r>
  </si>
  <si>
    <t>جامعة الجوف</t>
  </si>
  <si>
    <t>951-1000</t>
  </si>
  <si>
    <t>5068 </t>
  </si>
  <si>
    <t>2969 </t>
  </si>
  <si>
    <t>جامعة بنها</t>
  </si>
  <si>
    <t>3074 </t>
  </si>
  <si>
    <t>جامعة طيبة</t>
  </si>
  <si>
    <t>3589 </t>
  </si>
  <si>
    <t>1500+</t>
  </si>
  <si>
    <t>جامعة المنوفية</t>
  </si>
  <si>
    <t>101-125</t>
  </si>
  <si>
    <t>جامعة حائل</t>
  </si>
  <si>
    <t>6342 </t>
  </si>
  <si>
    <t>جامعة بني سويف</t>
  </si>
  <si>
    <t>جامعة الإمام محمد بن سعود الإسلامية</t>
  </si>
  <si>
    <t>791-800</t>
  </si>
  <si>
    <t>2174 </t>
  </si>
  <si>
    <t>جامعة قناة السويس</t>
  </si>
  <si>
    <t>جامعة جازان</t>
  </si>
  <si>
    <t>4474 </t>
  </si>
  <si>
    <t>جامعة العلوم والتكنولوجيا الأردنية</t>
  </si>
  <si>
    <t>801–1000</t>
  </si>
  <si>
    <t>جامعة المنيا</t>
  </si>
  <si>
    <t>5840 </t>
  </si>
  <si>
    <t>جامعة محمد الخامس أكدال</t>
  </si>
  <si>
    <t>Morocco</t>
  </si>
  <si>
    <t>1201–1500</t>
  </si>
  <si>
    <t>جامعة بغداد</t>
  </si>
  <si>
    <t>Iraq</t>
  </si>
  <si>
    <t>3144 </t>
  </si>
  <si>
    <t>الجامعة الاميركية اللبنانية</t>
  </si>
  <si>
    <t>Lebanon</t>
  </si>
  <si>
    <t>251–300</t>
  </si>
  <si>
    <t>3032 </t>
  </si>
  <si>
    <t>جامعة تونس المنار</t>
  </si>
  <si>
    <t>Tunisia</t>
  </si>
  <si>
    <t>جامعة صفاقس</t>
  </si>
  <si>
    <t>جامعة الحسن الثانی دارالبیضاء</t>
  </si>
  <si>
    <t>1501+ </t>
  </si>
  <si>
    <t>3705 </t>
  </si>
  <si>
    <t>151–175</t>
  </si>
  <si>
    <t>جامعة سيدي محمد بن عبد الله</t>
  </si>
  <si>
    <t>3707 </t>
  </si>
  <si>
    <t>جامعة تبوك</t>
  </si>
  <si>
    <t>4757 </t>
  </si>
  <si>
    <t> الجامعة التكنولوجية -العراق</t>
  </si>
  <si>
    <t>1001–1200</t>
  </si>
  <si>
    <t>6116 </t>
  </si>
  <si>
    <t>1501+</t>
  </si>
  <si>
    <t>جامعة المنستير</t>
  </si>
  <si>
    <t>151-175</t>
  </si>
  <si>
    <t>جامعة جدة</t>
  </si>
  <si>
    <t>4519 </t>
  </si>
  <si>
    <t>جامعة السلطان قابوس</t>
  </si>
  <si>
    <t>Oman</t>
  </si>
  <si>
    <t>2364 </t>
  </si>
  <si>
    <t>1006 </t>
  </si>
  <si>
    <t>جامعة  سعود بن عبد العزيز للعلوم الصحية</t>
  </si>
  <si>
    <t>4819 </t>
  </si>
  <si>
    <t>2429 </t>
  </si>
  <si>
    <t>جامعة حلوان</t>
  </si>
  <si>
    <t>126-150</t>
  </si>
  <si>
    <t>الجامعة المستنصرية</t>
  </si>
  <si>
    <t>4051 </t>
  </si>
  <si>
    <t>جامعة نجران</t>
  </si>
  <si>
    <t>2310 </t>
  </si>
  <si>
    <t>جامعة 7 نوفمبر بقرطاج</t>
  </si>
  <si>
    <t>(7891</t>
  </si>
  <si>
    <t>جامعة بابل</t>
  </si>
  <si>
    <t>51-60</t>
  </si>
  <si>
    <t>كلية جامعة المستقبل</t>
  </si>
  <si>
    <t>121-140</t>
  </si>
  <si>
    <t>جامعة الموصل</t>
  </si>
  <si>
    <t>5802 </t>
  </si>
  <si>
    <t>جامعة العلوم التطبيقية الأردن</t>
  </si>
  <si>
    <t>761-770</t>
  </si>
  <si>
    <t>جامعة القاضي عياض</t>
  </si>
  <si>
    <t>جامعة عجمان</t>
  </si>
  <si>
    <t>2823 </t>
  </si>
  <si>
    <t>-</t>
  </si>
  <si>
    <t>1675 </t>
  </si>
  <si>
    <t>جامعة البلقاء التطبيقية</t>
  </si>
  <si>
    <t>الجامعة الهاشمية</t>
  </si>
  <si>
    <t>جامعة ابن طفيل</t>
  </si>
  <si>
    <t>الجامعة الاميركية في بيروت</t>
  </si>
  <si>
    <t>501–600</t>
  </si>
  <si>
    <t>603 </t>
  </si>
  <si>
    <t>جامعة البصرة</t>
  </si>
  <si>
    <t>جامعة محمد السادس بوليتكنيك</t>
  </si>
  <si>
    <t>جامعة الحدود الشمالية</t>
  </si>
  <si>
    <t>جامعة عبدالمالك السعدي</t>
  </si>
  <si>
    <t>جامعة المستقبل في مصر</t>
  </si>
  <si>
    <t>جامعة القصيم</t>
  </si>
  <si>
    <t>781-790</t>
  </si>
  <si>
    <t>2923 </t>
  </si>
  <si>
    <t>1489 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</si>
</sst>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scheme val="minor"/>
    </font>
    <font>
      <b/>
      <sz val="11"/>
      <color theme="0"/>
      <name val="Calibri"/>
    </font>
    <font>
      <b/>
      <u/>
      <sz val="11"/>
      <color theme="0"/>
      <name val="Calibri"/>
    </font>
    <font>
      <u/>
      <sz val="11"/>
      <color theme="0"/>
      <name val="Calibri"/>
    </font>
    <font>
      <u/>
      <sz val="11"/>
      <color theme="0"/>
      <name val="Calibri"/>
    </font>
    <font>
      <u/>
      <sz val="11"/>
      <color theme="0"/>
      <name val="Calibri"/>
    </font>
    <font>
      <u/>
      <sz val="11"/>
      <color theme="0"/>
      <name val="Calibri"/>
    </font>
    <font>
      <u/>
      <sz val="11"/>
      <color theme="0"/>
      <name val="Calibri"/>
    </font>
    <font>
      <sz val="14"/>
      <color theme="1"/>
      <name val="Hk_groteskregular"/>
    </font>
    <font>
      <u/>
      <sz val="14"/>
      <color rgb="FF0000FF"/>
      <name val="Hk_groteskregular"/>
    </font>
    <font>
      <sz val="11"/>
      <color theme="1"/>
      <name val="Calibri"/>
    </font>
    <font>
      <sz val="8"/>
      <color rgb="FFB4B4B4"/>
      <name val="Noto Sans"/>
    </font>
    <font>
      <sz val="8"/>
      <color theme="1"/>
      <name val="Tahoma"/>
    </font>
    <font>
      <sz val="8"/>
      <color rgb="FF6C757D"/>
      <name val="Tahoma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FFF2CB"/>
        <bgColor rgb="FFFFF2CB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right" vertical="center" wrapText="1"/>
    </xf>
    <xf numFmtId="1" fontId="8" fillId="6" borderId="5" xfId="0" applyNumberFormat="1" applyFont="1" applyFill="1" applyBorder="1" applyAlignment="1">
      <alignment horizontal="center" vertical="center" wrapText="1"/>
    </xf>
    <xf numFmtId="1" fontId="8" fillId="6" borderId="5" xfId="0" applyNumberFormat="1" applyFont="1" applyFill="1" applyBorder="1" applyAlignment="1">
      <alignment horizontal="center" vertical="center" wrapText="1"/>
    </xf>
    <xf numFmtId="1" fontId="9" fillId="6" borderId="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3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leidenranking.com/ranking/2025/list" TargetMode="External"/><Relationship Id="rId13" Type="http://schemas.openxmlformats.org/officeDocument/2006/relationships/hyperlink" Target="https://www.unirank.org/arabic-speaking-countries/top-200/" TargetMode="External"/><Relationship Id="rId18" Type="http://schemas.openxmlformats.org/officeDocument/2006/relationships/hyperlink" Target="https://roundranking.com/ranking/index.html?year=2025&amp;dimns=O&amp;srt=rf&amp;loc=c17&amp;shw=25&amp;1757879211743" TargetMode="External"/><Relationship Id="rId3" Type="http://schemas.openxmlformats.org/officeDocument/2006/relationships/hyperlink" Target="https://www.timeshighereducation.com/world-university-rankings/latest/world-ranking" TargetMode="External"/><Relationship Id="rId21" Type="http://schemas.openxmlformats.org/officeDocument/2006/relationships/hyperlink" Target="https://open.leidenranking.com/ranking/2025/university/53925/publication/" TargetMode="External"/><Relationship Id="rId7" Type="http://schemas.openxmlformats.org/officeDocument/2006/relationships/hyperlink" Target="https://www.scimagoir.com/rankings.php?sector=Higher+educ.&amp;country=ARAB%20COUNTRIES" TargetMode="External"/><Relationship Id="rId12" Type="http://schemas.openxmlformats.org/officeDocument/2006/relationships/hyperlink" Target="https://www.usnews.com/education/best-global-universities/search?country=qatar" TargetMode="External"/><Relationship Id="rId17" Type="http://schemas.openxmlformats.org/officeDocument/2006/relationships/hyperlink" Target="https://scholargps.com/institutional-rankings" TargetMode="External"/><Relationship Id="rId2" Type="http://schemas.openxmlformats.org/officeDocument/2006/relationships/hyperlink" Target="https://www.shanghairanking.com/rankings/arwu/2025" TargetMode="External"/><Relationship Id="rId16" Type="http://schemas.openxmlformats.org/officeDocument/2006/relationships/hyperlink" Target="https://cwur.org/2025.php" TargetMode="External"/><Relationship Id="rId20" Type="http://schemas.openxmlformats.org/officeDocument/2006/relationships/hyperlink" Target="https://open.leidenranking.com/ranking/2025/university/10445/publication/" TargetMode="External"/><Relationship Id="rId1" Type="http://schemas.openxmlformats.org/officeDocument/2006/relationships/hyperlink" Target="https://sites.aub.edu.lb/lmeho/ri2/" TargetMode="External"/><Relationship Id="rId6" Type="http://schemas.openxmlformats.org/officeDocument/2006/relationships/hyperlink" Target="https://www.auranking.aaru.edu.jo/ar/rank%20results/" TargetMode="External"/><Relationship Id="rId11" Type="http://schemas.openxmlformats.org/officeDocument/2006/relationships/hyperlink" Target="https://www.timeshighereducation.com/world-university-rankings/2026/arab-university-rankings" TargetMode="External"/><Relationship Id="rId5" Type="http://schemas.openxmlformats.org/officeDocument/2006/relationships/hyperlink" Target="https://www.topuniversities.com/world-university-rankings" TargetMode="External"/><Relationship Id="rId15" Type="http://schemas.openxmlformats.org/officeDocument/2006/relationships/hyperlink" Target="https://uigreenmetric.com/rankings/university/overall-rankings-2025" TargetMode="External"/><Relationship Id="rId10" Type="http://schemas.openxmlformats.org/officeDocument/2006/relationships/hyperlink" Target="https://www.topuniversities.com/arab-region-university-rankings" TargetMode="External"/><Relationship Id="rId19" Type="http://schemas.openxmlformats.org/officeDocument/2006/relationships/hyperlink" Target="https://open.leidenranking.com/ranking/2025/university/3711/publication/" TargetMode="External"/><Relationship Id="rId4" Type="http://schemas.openxmlformats.org/officeDocument/2006/relationships/hyperlink" Target="https://www.adscientificindex.com/university-ranking/?funding=All+Universities" TargetMode="External"/><Relationship Id="rId9" Type="http://schemas.openxmlformats.org/officeDocument/2006/relationships/hyperlink" Target="https://www.unirank.org/arabic-speaking-countries/top-200/" TargetMode="External"/><Relationship Id="rId14" Type="http://schemas.openxmlformats.org/officeDocument/2006/relationships/hyperlink" Target="https://www.timeshighereducation.com/impactran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rightToLeft="1" tabSelected="1" workbookViewId="0">
      <pane ySplit="1" topLeftCell="A2" activePane="bottomLeft" state="frozen"/>
      <selection pane="bottomLeft" activeCell="V71" sqref="A1:V71"/>
    </sheetView>
  </sheetViews>
  <sheetFormatPr defaultColWidth="14.44140625" defaultRowHeight="15" customHeight="1"/>
  <cols>
    <col min="1" max="1" width="26.88671875" customWidth="1"/>
    <col min="2" max="2" width="12" customWidth="1"/>
    <col min="3" max="3" width="23.88671875" customWidth="1"/>
    <col min="4" max="4" width="16.5546875" customWidth="1"/>
    <col min="5" max="6" width="17.88671875" customWidth="1"/>
    <col min="7" max="7" width="16.5546875" customWidth="1"/>
    <col min="8" max="8" width="17.88671875" customWidth="1"/>
    <col min="9" max="9" width="15.88671875" customWidth="1"/>
    <col min="10" max="10" width="22.44140625" customWidth="1"/>
    <col min="11" max="11" width="14.109375" customWidth="1"/>
    <col min="12" max="12" width="13.88671875" customWidth="1"/>
    <col min="13" max="13" width="17.5546875" customWidth="1"/>
    <col min="14" max="14" width="17.44140625" customWidth="1"/>
    <col min="15" max="15" width="16.5546875" customWidth="1"/>
    <col min="16" max="16" width="13.88671875" customWidth="1"/>
    <col min="17" max="17" width="17.44140625" customWidth="1"/>
    <col min="18" max="19" width="16.5546875" customWidth="1"/>
    <col min="20" max="20" width="12.109375" customWidth="1"/>
    <col min="21" max="21" width="17.5546875" customWidth="1"/>
    <col min="22" max="22" width="20.109375" customWidth="1"/>
    <col min="23" max="26" width="8.6640625" customWidth="1"/>
  </cols>
  <sheetData>
    <row r="1" spans="1:22" ht="6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6" t="s">
        <v>14</v>
      </c>
      <c r="P1" s="9" t="s">
        <v>15</v>
      </c>
      <c r="Q1" s="8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ht="14.25" customHeight="1">
      <c r="A2" s="10" t="s">
        <v>22</v>
      </c>
      <c r="B2" s="11">
        <v>2009</v>
      </c>
      <c r="C2" s="11" t="s">
        <v>23</v>
      </c>
      <c r="D2" s="11">
        <v>4878</v>
      </c>
      <c r="E2" s="11" t="s">
        <v>24</v>
      </c>
      <c r="F2" s="12" t="s">
        <v>25</v>
      </c>
      <c r="G2" s="11">
        <v>241</v>
      </c>
      <c r="H2" s="12" t="s">
        <v>25</v>
      </c>
      <c r="I2" s="11"/>
      <c r="J2" s="11">
        <v>680</v>
      </c>
      <c r="K2" s="11">
        <v>4357</v>
      </c>
      <c r="L2" s="11">
        <v>990</v>
      </c>
      <c r="M2" s="12" t="s">
        <v>25</v>
      </c>
      <c r="N2" s="11">
        <v>1</v>
      </c>
      <c r="O2" s="11">
        <v>103</v>
      </c>
      <c r="P2" s="11">
        <v>3</v>
      </c>
      <c r="Q2" s="11">
        <v>90</v>
      </c>
      <c r="R2" s="12" t="s">
        <v>25</v>
      </c>
      <c r="S2" s="11">
        <v>236</v>
      </c>
      <c r="T2" s="11" t="s">
        <v>26</v>
      </c>
      <c r="U2" s="11">
        <v>185</v>
      </c>
      <c r="V2" s="12" t="s">
        <v>25</v>
      </c>
    </row>
    <row r="3" spans="1:22" ht="14.25" customHeight="1">
      <c r="A3" s="10" t="s">
        <v>27</v>
      </c>
      <c r="B3" s="11">
        <v>1967</v>
      </c>
      <c r="C3" s="11" t="s">
        <v>23</v>
      </c>
      <c r="D3" s="11">
        <v>11720</v>
      </c>
      <c r="E3" s="11" t="s">
        <v>28</v>
      </c>
      <c r="F3" s="11" t="s">
        <v>29</v>
      </c>
      <c r="G3" s="11">
        <v>418</v>
      </c>
      <c r="H3" s="11">
        <v>200</v>
      </c>
      <c r="I3" s="11"/>
      <c r="J3" s="11">
        <v>680</v>
      </c>
      <c r="K3" s="11">
        <v>9741</v>
      </c>
      <c r="L3" s="11" t="s">
        <v>30</v>
      </c>
      <c r="M3" s="11">
        <v>7</v>
      </c>
      <c r="N3" s="11">
        <v>15</v>
      </c>
      <c r="O3" s="11">
        <v>122</v>
      </c>
      <c r="P3" s="11">
        <v>2</v>
      </c>
      <c r="Q3" s="11" t="s">
        <v>24</v>
      </c>
      <c r="R3" s="12" t="s">
        <v>25</v>
      </c>
      <c r="S3" s="11">
        <v>271</v>
      </c>
      <c r="T3" s="11">
        <v>768</v>
      </c>
      <c r="U3" s="11">
        <v>829</v>
      </c>
      <c r="V3" s="11">
        <v>155</v>
      </c>
    </row>
    <row r="4" spans="1:22" ht="14.25" customHeight="1">
      <c r="A4" s="10" t="s">
        <v>31</v>
      </c>
      <c r="B4" s="11">
        <v>1957</v>
      </c>
      <c r="C4" s="11" t="s">
        <v>23</v>
      </c>
      <c r="D4" s="11">
        <v>27744</v>
      </c>
      <c r="E4" s="11" t="s">
        <v>32</v>
      </c>
      <c r="F4" s="11" t="s">
        <v>33</v>
      </c>
      <c r="G4" s="11">
        <v>210</v>
      </c>
      <c r="H4" s="11">
        <v>107</v>
      </c>
      <c r="I4" s="11">
        <v>1</v>
      </c>
      <c r="J4" s="11">
        <v>264</v>
      </c>
      <c r="K4" s="11">
        <v>14159</v>
      </c>
      <c r="L4" s="11" t="s">
        <v>34</v>
      </c>
      <c r="M4" s="11">
        <v>4</v>
      </c>
      <c r="N4" s="11">
        <v>4</v>
      </c>
      <c r="O4" s="11">
        <v>139</v>
      </c>
      <c r="P4" s="11">
        <v>1</v>
      </c>
      <c r="Q4" s="11" t="s">
        <v>35</v>
      </c>
      <c r="R4" s="12" t="s">
        <v>25</v>
      </c>
      <c r="S4" s="11">
        <v>306</v>
      </c>
      <c r="T4" s="11" t="s">
        <v>36</v>
      </c>
      <c r="U4" s="11">
        <v>230</v>
      </c>
      <c r="V4" s="11">
        <v>11</v>
      </c>
    </row>
    <row r="5" spans="1:22" ht="14.25" customHeight="1">
      <c r="A5" s="10" t="s">
        <v>37</v>
      </c>
      <c r="B5" s="11">
        <v>1908</v>
      </c>
      <c r="C5" s="11" t="s">
        <v>38</v>
      </c>
      <c r="D5" s="11">
        <v>12134</v>
      </c>
      <c r="E5" s="11" t="s">
        <v>39</v>
      </c>
      <c r="F5" s="11" t="s">
        <v>35</v>
      </c>
      <c r="G5" s="11">
        <v>574</v>
      </c>
      <c r="H5" s="11">
        <v>363</v>
      </c>
      <c r="I5" s="11">
        <v>7</v>
      </c>
      <c r="J5" s="11">
        <v>997</v>
      </c>
      <c r="K5" s="11">
        <v>9365</v>
      </c>
      <c r="L5" s="11">
        <v>1310</v>
      </c>
      <c r="M5" s="11">
        <v>20</v>
      </c>
      <c r="N5" s="11">
        <v>45</v>
      </c>
      <c r="O5" s="11">
        <v>221</v>
      </c>
      <c r="P5" s="11">
        <v>11</v>
      </c>
      <c r="Q5" s="11" t="s">
        <v>40</v>
      </c>
      <c r="R5" s="11">
        <v>518</v>
      </c>
      <c r="S5" s="11">
        <v>517</v>
      </c>
      <c r="T5" s="11">
        <v>635</v>
      </c>
      <c r="U5" s="12" t="s">
        <v>25</v>
      </c>
      <c r="V5" s="11">
        <v>223</v>
      </c>
    </row>
    <row r="6" spans="1:22" ht="14.25" customHeight="1">
      <c r="A6" s="10" t="s">
        <v>41</v>
      </c>
      <c r="B6" s="11">
        <v>1997</v>
      </c>
      <c r="C6" s="11" t="s">
        <v>42</v>
      </c>
      <c r="D6" s="11">
        <v>4714</v>
      </c>
      <c r="E6" s="11" t="s">
        <v>43</v>
      </c>
      <c r="F6" s="11" t="s">
        <v>44</v>
      </c>
      <c r="G6" s="11">
        <v>558</v>
      </c>
      <c r="H6" s="11">
        <f>283</f>
        <v>283</v>
      </c>
      <c r="I6" s="11">
        <v>8</v>
      </c>
      <c r="J6" s="11">
        <v>2816</v>
      </c>
      <c r="K6" s="11">
        <v>2749</v>
      </c>
      <c r="L6" s="11">
        <v>1328</v>
      </c>
      <c r="M6" s="11">
        <v>14</v>
      </c>
      <c r="N6" s="11">
        <v>12</v>
      </c>
      <c r="O6" s="11">
        <v>247</v>
      </c>
      <c r="P6" s="11">
        <v>12</v>
      </c>
      <c r="Q6" s="11" t="s">
        <v>24</v>
      </c>
      <c r="R6" s="11">
        <v>38</v>
      </c>
      <c r="S6" s="11">
        <v>994</v>
      </c>
      <c r="T6" s="11" t="s">
        <v>45</v>
      </c>
      <c r="U6" s="11">
        <v>787</v>
      </c>
      <c r="V6" s="11">
        <v>239</v>
      </c>
    </row>
    <row r="7" spans="1:22" ht="14.25" customHeight="1">
      <c r="A7" s="10" t="s">
        <v>46</v>
      </c>
      <c r="B7" s="11">
        <v>1973</v>
      </c>
      <c r="C7" s="11" t="s">
        <v>47</v>
      </c>
      <c r="D7" s="11">
        <v>5058</v>
      </c>
      <c r="E7" s="11" t="s">
        <v>28</v>
      </c>
      <c r="F7" s="11" t="s">
        <v>48</v>
      </c>
      <c r="G7" s="11">
        <v>404</v>
      </c>
      <c r="H7" s="11">
        <v>109</v>
      </c>
      <c r="I7" s="12" t="s">
        <v>25</v>
      </c>
      <c r="J7" s="11">
        <v>988</v>
      </c>
      <c r="K7" s="11">
        <v>4123</v>
      </c>
      <c r="L7" s="11" t="s">
        <v>49</v>
      </c>
      <c r="M7" s="11">
        <v>2</v>
      </c>
      <c r="N7" s="11">
        <v>3</v>
      </c>
      <c r="O7" s="11">
        <v>262</v>
      </c>
      <c r="P7" s="11">
        <v>8</v>
      </c>
      <c r="Q7" s="11" t="s">
        <v>50</v>
      </c>
      <c r="R7" s="12" t="s">
        <v>25</v>
      </c>
      <c r="S7" s="11">
        <v>747</v>
      </c>
      <c r="T7" s="11">
        <v>482</v>
      </c>
      <c r="U7" s="12" t="s">
        <v>25</v>
      </c>
      <c r="V7" s="11">
        <v>335</v>
      </c>
    </row>
    <row r="8" spans="1:22" ht="14.25" customHeight="1">
      <c r="A8" s="10" t="s">
        <v>51</v>
      </c>
      <c r="B8" s="11">
        <v>1972</v>
      </c>
      <c r="C8" s="11" t="s">
        <v>38</v>
      </c>
      <c r="D8" s="11">
        <v>7172</v>
      </c>
      <c r="E8" s="11" t="s">
        <v>52</v>
      </c>
      <c r="F8" s="11" t="s">
        <v>35</v>
      </c>
      <c r="G8" s="11">
        <v>632</v>
      </c>
      <c r="H8" s="11" t="s">
        <v>53</v>
      </c>
      <c r="I8" s="11">
        <v>24</v>
      </c>
      <c r="J8" s="11">
        <v>2314</v>
      </c>
      <c r="K8" s="11">
        <v>4874</v>
      </c>
      <c r="L8" s="11" t="s">
        <v>54</v>
      </c>
      <c r="M8" s="11">
        <v>50</v>
      </c>
      <c r="N8" s="11">
        <v>59</v>
      </c>
      <c r="O8" s="11">
        <v>267</v>
      </c>
      <c r="P8" s="11">
        <v>82</v>
      </c>
      <c r="Q8" s="12" t="s">
        <v>25</v>
      </c>
      <c r="R8" s="12" t="s">
        <v>25</v>
      </c>
      <c r="S8" s="11">
        <v>780</v>
      </c>
      <c r="T8" s="11">
        <v>1108</v>
      </c>
      <c r="U8" s="11">
        <v>664</v>
      </c>
      <c r="V8" s="12" t="s">
        <v>25</v>
      </c>
    </row>
    <row r="9" spans="1:22" ht="14.25" customHeight="1">
      <c r="A9" s="10" t="s">
        <v>55</v>
      </c>
      <c r="B9" s="11">
        <v>970</v>
      </c>
      <c r="C9" s="11" t="s">
        <v>38</v>
      </c>
      <c r="D9" s="11">
        <v>6326</v>
      </c>
      <c r="E9" s="11" t="s">
        <v>56</v>
      </c>
      <c r="F9" s="11" t="s">
        <v>35</v>
      </c>
      <c r="G9" s="11">
        <v>1046</v>
      </c>
      <c r="H9" s="11" t="s">
        <v>53</v>
      </c>
      <c r="I9" s="11">
        <v>22</v>
      </c>
      <c r="J9" s="11">
        <v>4737</v>
      </c>
      <c r="K9" s="11">
        <v>3484</v>
      </c>
      <c r="L9" s="11" t="s">
        <v>57</v>
      </c>
      <c r="M9" s="11">
        <v>51</v>
      </c>
      <c r="N9" s="11">
        <v>61</v>
      </c>
      <c r="O9" s="11">
        <v>279</v>
      </c>
      <c r="P9" s="11">
        <v>112</v>
      </c>
      <c r="Q9" s="11" t="s">
        <v>58</v>
      </c>
      <c r="R9" s="12" t="s">
        <v>25</v>
      </c>
      <c r="S9" s="11">
        <v>1125</v>
      </c>
      <c r="T9" s="11">
        <v>2653</v>
      </c>
      <c r="U9" s="11">
        <v>816</v>
      </c>
      <c r="V9" s="12" t="s">
        <v>25</v>
      </c>
    </row>
    <row r="10" spans="1:22" ht="14.25" customHeight="1">
      <c r="A10" s="10" t="s">
        <v>59</v>
      </c>
      <c r="B10" s="11">
        <v>1976</v>
      </c>
      <c r="C10" s="11" t="s">
        <v>42</v>
      </c>
      <c r="D10" s="11">
        <v>4453</v>
      </c>
      <c r="E10" s="11" t="s">
        <v>56</v>
      </c>
      <c r="F10" s="11" t="s">
        <v>33</v>
      </c>
      <c r="G10" s="11">
        <v>530</v>
      </c>
      <c r="H10" s="11">
        <v>217</v>
      </c>
      <c r="I10" s="11">
        <v>2</v>
      </c>
      <c r="J10" s="11">
        <v>2170</v>
      </c>
      <c r="K10" s="11">
        <v>2956</v>
      </c>
      <c r="L10" s="11" t="s">
        <v>60</v>
      </c>
      <c r="M10" s="11">
        <v>5</v>
      </c>
      <c r="N10" s="11">
        <v>6</v>
      </c>
      <c r="O10" s="11">
        <v>285</v>
      </c>
      <c r="P10" s="11">
        <v>14</v>
      </c>
      <c r="Q10" s="11" t="s">
        <v>50</v>
      </c>
      <c r="R10" s="12" t="s">
        <v>25</v>
      </c>
      <c r="S10" s="11">
        <v>958</v>
      </c>
      <c r="T10" s="11" t="s">
        <v>61</v>
      </c>
      <c r="U10" s="11">
        <v>1077</v>
      </c>
      <c r="V10" s="11">
        <v>417</v>
      </c>
    </row>
    <row r="11" spans="1:22" ht="14.25" customHeight="1">
      <c r="A11" s="10" t="s">
        <v>62</v>
      </c>
      <c r="B11" s="11">
        <v>1950</v>
      </c>
      <c r="C11" s="11" t="s">
        <v>38</v>
      </c>
      <c r="D11" s="11">
        <v>7203</v>
      </c>
      <c r="E11" s="11" t="s">
        <v>52</v>
      </c>
      <c r="F11" s="11" t="s">
        <v>35</v>
      </c>
      <c r="G11" s="11">
        <v>772</v>
      </c>
      <c r="H11" s="11">
        <v>551</v>
      </c>
      <c r="I11" s="11">
        <v>10</v>
      </c>
      <c r="J11" s="11">
        <v>2285</v>
      </c>
      <c r="K11" s="11">
        <v>5646</v>
      </c>
      <c r="L11" s="11" t="s">
        <v>63</v>
      </c>
      <c r="M11" s="11">
        <v>28</v>
      </c>
      <c r="N11" s="11">
        <v>57</v>
      </c>
      <c r="O11" s="11">
        <v>290</v>
      </c>
      <c r="P11" s="11">
        <v>18</v>
      </c>
      <c r="Q11" s="11" t="s">
        <v>64</v>
      </c>
      <c r="R11" s="11">
        <v>365</v>
      </c>
      <c r="S11" s="11">
        <v>731</v>
      </c>
      <c r="T11" s="11">
        <v>1310</v>
      </c>
      <c r="U11" s="11">
        <v>743</v>
      </c>
      <c r="V11" s="12" t="s">
        <v>25</v>
      </c>
    </row>
    <row r="12" spans="1:22" ht="14.25" customHeight="1">
      <c r="A12" s="10" t="s">
        <v>65</v>
      </c>
      <c r="B12" s="11">
        <v>1942</v>
      </c>
      <c r="C12" s="11" t="s">
        <v>38</v>
      </c>
      <c r="D12" s="11">
        <v>6070</v>
      </c>
      <c r="E12" s="11" t="s">
        <v>28</v>
      </c>
      <c r="F12" s="11" t="s">
        <v>35</v>
      </c>
      <c r="G12" s="11">
        <v>913</v>
      </c>
      <c r="H12" s="11" t="s">
        <v>66</v>
      </c>
      <c r="I12" s="11">
        <v>12</v>
      </c>
      <c r="J12" s="11">
        <v>2524</v>
      </c>
      <c r="K12" s="11">
        <v>4675</v>
      </c>
      <c r="L12" s="11" t="s">
        <v>67</v>
      </c>
      <c r="M12" s="11">
        <v>36</v>
      </c>
      <c r="N12" s="11">
        <v>74</v>
      </c>
      <c r="O12" s="11">
        <v>304</v>
      </c>
      <c r="P12" s="11">
        <v>35</v>
      </c>
      <c r="Q12" s="11" t="s">
        <v>40</v>
      </c>
      <c r="R12" s="11">
        <v>171</v>
      </c>
      <c r="S12" s="11">
        <v>848</v>
      </c>
      <c r="T12" s="11">
        <v>1059</v>
      </c>
      <c r="U12" s="11">
        <v>750</v>
      </c>
      <c r="V12" s="11">
        <v>605</v>
      </c>
    </row>
    <row r="13" spans="1:22" ht="14.25" customHeight="1">
      <c r="A13" s="10" t="s">
        <v>68</v>
      </c>
      <c r="B13" s="11">
        <v>1974</v>
      </c>
      <c r="C13" s="11" t="s">
        <v>38</v>
      </c>
      <c r="D13" s="11">
        <v>5278</v>
      </c>
      <c r="E13" s="11" t="s">
        <v>43</v>
      </c>
      <c r="F13" s="11" t="s">
        <v>53</v>
      </c>
      <c r="G13" s="11">
        <v>815</v>
      </c>
      <c r="H13" s="11" t="s">
        <v>69</v>
      </c>
      <c r="I13" s="11">
        <v>27</v>
      </c>
      <c r="J13" s="11">
        <v>2907</v>
      </c>
      <c r="K13" s="13">
        <v>4001</v>
      </c>
      <c r="L13" s="11" t="s">
        <v>70</v>
      </c>
      <c r="M13" s="11">
        <v>73</v>
      </c>
      <c r="N13" s="11">
        <v>78</v>
      </c>
      <c r="O13" s="11">
        <v>304</v>
      </c>
      <c r="P13" s="11">
        <v>94</v>
      </c>
      <c r="Q13" s="11" t="s">
        <v>40</v>
      </c>
      <c r="R13" s="11">
        <v>648</v>
      </c>
      <c r="S13" s="11">
        <v>1026</v>
      </c>
      <c r="T13" s="11">
        <v>1069</v>
      </c>
      <c r="U13" s="11">
        <v>583</v>
      </c>
      <c r="V13" s="12" t="s">
        <v>25</v>
      </c>
    </row>
    <row r="14" spans="1:22" ht="14.25" customHeight="1">
      <c r="A14" s="10" t="s">
        <v>71</v>
      </c>
      <c r="B14" s="11">
        <v>1998</v>
      </c>
      <c r="C14" s="11" t="s">
        <v>23</v>
      </c>
      <c r="D14" s="11">
        <v>11363</v>
      </c>
      <c r="E14" s="11" t="s">
        <v>39</v>
      </c>
      <c r="F14" s="11" t="s">
        <v>33</v>
      </c>
      <c r="G14" s="11">
        <v>806</v>
      </c>
      <c r="H14" s="11">
        <v>514</v>
      </c>
      <c r="I14" s="11">
        <v>6</v>
      </c>
      <c r="J14" s="11">
        <v>2170</v>
      </c>
      <c r="K14" s="11">
        <v>4377</v>
      </c>
      <c r="L14" s="11" t="s">
        <v>72</v>
      </c>
      <c r="M14" s="11">
        <v>17</v>
      </c>
      <c r="N14" s="11">
        <v>8</v>
      </c>
      <c r="O14" s="11">
        <v>306</v>
      </c>
      <c r="P14" s="11">
        <v>52</v>
      </c>
      <c r="Q14" s="11" t="s">
        <v>40</v>
      </c>
      <c r="R14" s="11">
        <v>964</v>
      </c>
      <c r="S14" s="11">
        <v>1076</v>
      </c>
      <c r="T14" s="11">
        <v>1726</v>
      </c>
      <c r="U14" s="12" t="s">
        <v>25</v>
      </c>
      <c r="V14" s="12" t="s">
        <v>25</v>
      </c>
    </row>
    <row r="15" spans="1:22" ht="14.25" customHeight="1">
      <c r="A15" s="10" t="s">
        <v>73</v>
      </c>
      <c r="B15" s="11">
        <v>1963</v>
      </c>
      <c r="C15" s="11" t="s">
        <v>23</v>
      </c>
      <c r="D15" s="11">
        <v>5339</v>
      </c>
      <c r="E15" s="11" t="s">
        <v>56</v>
      </c>
      <c r="F15" s="11">
        <v>184</v>
      </c>
      <c r="G15" s="11">
        <v>519</v>
      </c>
      <c r="H15" s="11">
        <v>63</v>
      </c>
      <c r="I15" s="11"/>
      <c r="J15" s="11">
        <v>1665</v>
      </c>
      <c r="K15" s="11">
        <v>4295</v>
      </c>
      <c r="L15" s="11" t="s">
        <v>74</v>
      </c>
      <c r="M15" s="11">
        <v>1</v>
      </c>
      <c r="N15" s="11">
        <v>2</v>
      </c>
      <c r="O15" s="11">
        <v>322</v>
      </c>
      <c r="P15" s="11">
        <v>10</v>
      </c>
      <c r="Q15" s="11">
        <v>25</v>
      </c>
      <c r="R15" s="12" t="s">
        <v>25</v>
      </c>
      <c r="S15" s="11">
        <v>606</v>
      </c>
      <c r="T15" s="11" t="s">
        <v>75</v>
      </c>
      <c r="U15" s="12" t="s">
        <v>25</v>
      </c>
      <c r="V15" s="12" t="s">
        <v>25</v>
      </c>
    </row>
    <row r="16" spans="1:22" ht="14.25" customHeight="1">
      <c r="A16" s="10" t="s">
        <v>76</v>
      </c>
      <c r="B16" s="11">
        <v>2007</v>
      </c>
      <c r="C16" s="11" t="s">
        <v>42</v>
      </c>
      <c r="D16" s="11">
        <v>3954</v>
      </c>
      <c r="E16" s="11" t="s">
        <v>52</v>
      </c>
      <c r="F16" s="11" t="s">
        <v>77</v>
      </c>
      <c r="G16" s="11">
        <v>477</v>
      </c>
      <c r="H16" s="11">
        <v>147</v>
      </c>
      <c r="I16" s="12" t="s">
        <v>25</v>
      </c>
      <c r="J16" s="11">
        <v>1763</v>
      </c>
      <c r="K16" s="11">
        <v>2780</v>
      </c>
      <c r="L16" s="11" t="s">
        <v>78</v>
      </c>
      <c r="M16" s="11">
        <v>3</v>
      </c>
      <c r="N16" s="11">
        <v>5</v>
      </c>
      <c r="O16" s="11">
        <v>340</v>
      </c>
      <c r="P16" s="11">
        <v>19</v>
      </c>
      <c r="Q16" s="11" t="s">
        <v>40</v>
      </c>
      <c r="R16" s="12" t="s">
        <v>25</v>
      </c>
      <c r="S16" s="11">
        <v>795</v>
      </c>
      <c r="T16" s="11" t="s">
        <v>79</v>
      </c>
      <c r="U16" s="11">
        <v>388</v>
      </c>
      <c r="V16" s="11">
        <v>344</v>
      </c>
    </row>
    <row r="17" spans="1:22" ht="14.25" customHeight="1">
      <c r="A17" s="10" t="s">
        <v>80</v>
      </c>
      <c r="B17" s="11">
        <v>1957</v>
      </c>
      <c r="C17" s="11" t="s">
        <v>38</v>
      </c>
      <c r="D17" s="11">
        <v>4174</v>
      </c>
      <c r="E17" s="12" t="s">
        <v>25</v>
      </c>
      <c r="F17" s="11" t="s">
        <v>81</v>
      </c>
      <c r="G17" s="11">
        <v>896</v>
      </c>
      <c r="H17" s="11" t="s">
        <v>53</v>
      </c>
      <c r="I17" s="11">
        <v>17</v>
      </c>
      <c r="J17" s="11">
        <v>4029</v>
      </c>
      <c r="K17" s="11">
        <v>2795</v>
      </c>
      <c r="L17" s="11">
        <v>3116</v>
      </c>
      <c r="M17" s="11">
        <v>54</v>
      </c>
      <c r="N17" s="11">
        <v>91</v>
      </c>
      <c r="O17" s="11">
        <v>405</v>
      </c>
      <c r="P17" s="11">
        <v>48</v>
      </c>
      <c r="Q17" s="11" t="s">
        <v>64</v>
      </c>
      <c r="R17" s="11">
        <v>631</v>
      </c>
      <c r="S17" s="11">
        <v>999</v>
      </c>
      <c r="T17" s="11" t="s">
        <v>82</v>
      </c>
      <c r="U17" s="11">
        <v>659</v>
      </c>
      <c r="V17" s="12" t="s">
        <v>25</v>
      </c>
    </row>
    <row r="18" spans="1:22" ht="14.25" customHeight="1">
      <c r="A18" s="10" t="s">
        <v>83</v>
      </c>
      <c r="B18" s="11">
        <v>1972</v>
      </c>
      <c r="C18" s="11" t="s">
        <v>38</v>
      </c>
      <c r="D18" s="11">
        <v>4549</v>
      </c>
      <c r="E18" s="12" t="s">
        <v>25</v>
      </c>
      <c r="F18" s="11" t="s">
        <v>53</v>
      </c>
      <c r="G18" s="11">
        <v>963</v>
      </c>
      <c r="H18" s="11" t="s">
        <v>84</v>
      </c>
      <c r="I18" s="11">
        <v>42</v>
      </c>
      <c r="J18" s="11">
        <v>4228</v>
      </c>
      <c r="K18" s="11">
        <v>3074</v>
      </c>
      <c r="L18" s="11">
        <v>3966</v>
      </c>
      <c r="M18" s="11">
        <v>97</v>
      </c>
      <c r="N18" s="11">
        <v>89</v>
      </c>
      <c r="O18" s="11">
        <v>428</v>
      </c>
      <c r="P18" s="11">
        <v>68</v>
      </c>
      <c r="Q18" s="11" t="s">
        <v>85</v>
      </c>
      <c r="R18" s="11">
        <v>586</v>
      </c>
      <c r="S18" s="11">
        <v>1107</v>
      </c>
      <c r="T18" s="11">
        <v>1357</v>
      </c>
      <c r="U18" s="11">
        <v>861</v>
      </c>
      <c r="V18" s="12" t="s">
        <v>25</v>
      </c>
    </row>
    <row r="19" spans="1:22" ht="14.25" customHeight="1">
      <c r="A19" s="10" t="s">
        <v>86</v>
      </c>
      <c r="B19" s="11">
        <v>2006</v>
      </c>
      <c r="C19" s="11" t="s">
        <v>38</v>
      </c>
      <c r="D19" s="11">
        <v>2804</v>
      </c>
      <c r="E19" s="12" t="s">
        <v>25</v>
      </c>
      <c r="F19" s="11" t="s">
        <v>85</v>
      </c>
      <c r="G19" s="11">
        <v>1105</v>
      </c>
      <c r="H19" s="12" t="s">
        <v>25</v>
      </c>
      <c r="I19" s="11">
        <v>64</v>
      </c>
      <c r="J19" s="11">
        <v>3829</v>
      </c>
      <c r="K19" s="11">
        <v>1301</v>
      </c>
      <c r="L19" s="11">
        <v>6159</v>
      </c>
      <c r="M19" s="11" t="s">
        <v>87</v>
      </c>
      <c r="N19" s="11">
        <v>61</v>
      </c>
      <c r="O19" s="11">
        <v>460</v>
      </c>
      <c r="P19" s="11">
        <v>153</v>
      </c>
      <c r="Q19" s="11" t="s">
        <v>85</v>
      </c>
      <c r="R19" s="11">
        <v>758</v>
      </c>
      <c r="S19" s="11">
        <v>1444</v>
      </c>
      <c r="T19" s="11">
        <v>3214</v>
      </c>
      <c r="U19" s="11">
        <v>270</v>
      </c>
      <c r="V19" s="12" t="s">
        <v>25</v>
      </c>
    </row>
    <row r="20" spans="1:22" ht="14.25" customHeight="1">
      <c r="A20" s="10" t="s">
        <v>88</v>
      </c>
      <c r="B20" s="11">
        <v>1970</v>
      </c>
      <c r="C20" s="11" t="s">
        <v>23</v>
      </c>
      <c r="D20" s="11">
        <v>8852</v>
      </c>
      <c r="E20" s="11" t="s">
        <v>64</v>
      </c>
      <c r="F20" s="11" t="s">
        <v>39</v>
      </c>
      <c r="G20" s="11">
        <v>1450</v>
      </c>
      <c r="H20" s="11" t="s">
        <v>66</v>
      </c>
      <c r="I20" s="11"/>
      <c r="J20" s="11">
        <v>2010</v>
      </c>
      <c r="K20" s="11">
        <v>2769</v>
      </c>
      <c r="L20" s="11" t="s">
        <v>89</v>
      </c>
      <c r="M20" s="11">
        <v>33</v>
      </c>
      <c r="N20" s="11">
        <v>20</v>
      </c>
      <c r="O20" s="11">
        <v>488</v>
      </c>
      <c r="P20" s="11">
        <v>64</v>
      </c>
      <c r="Q20" s="12" t="s">
        <v>25</v>
      </c>
      <c r="R20" s="11">
        <v>167</v>
      </c>
      <c r="S20" s="11">
        <v>1357</v>
      </c>
      <c r="T20" s="12" t="s">
        <v>25</v>
      </c>
      <c r="U20" s="12" t="s">
        <v>25</v>
      </c>
      <c r="V20" s="12" t="s">
        <v>25</v>
      </c>
    </row>
    <row r="21" spans="1:22" ht="14.25" customHeight="1">
      <c r="A21" s="10" t="s">
        <v>90</v>
      </c>
      <c r="B21" s="11">
        <v>2003</v>
      </c>
      <c r="C21" s="11" t="s">
        <v>23</v>
      </c>
      <c r="D21" s="11">
        <v>5301</v>
      </c>
      <c r="E21" s="11" t="s">
        <v>52</v>
      </c>
      <c r="F21" s="11" t="s">
        <v>85</v>
      </c>
      <c r="G21" s="11">
        <v>865</v>
      </c>
      <c r="H21" s="11" t="s">
        <v>91</v>
      </c>
      <c r="I21" s="11">
        <v>26</v>
      </c>
      <c r="J21" s="11">
        <v>2269</v>
      </c>
      <c r="K21" s="11">
        <v>3407</v>
      </c>
      <c r="L21" s="11" t="s">
        <v>92</v>
      </c>
      <c r="M21" s="11">
        <v>82</v>
      </c>
      <c r="N21" s="11">
        <v>44</v>
      </c>
      <c r="O21" s="11">
        <v>497</v>
      </c>
      <c r="P21" s="11">
        <v>66</v>
      </c>
      <c r="Q21" s="11" t="s">
        <v>58</v>
      </c>
      <c r="R21" s="11">
        <v>1426</v>
      </c>
      <c r="S21" s="11">
        <v>1212</v>
      </c>
      <c r="T21" s="11" t="s">
        <v>93</v>
      </c>
      <c r="U21" s="12" t="s">
        <v>25</v>
      </c>
      <c r="V21" s="12" t="s">
        <v>25</v>
      </c>
    </row>
    <row r="22" spans="1:22" ht="14.25" customHeight="1">
      <c r="A22" s="10" t="s">
        <v>94</v>
      </c>
      <c r="B22" s="11">
        <v>2009</v>
      </c>
      <c r="C22" s="11" t="s">
        <v>23</v>
      </c>
      <c r="D22" s="11">
        <v>8736</v>
      </c>
      <c r="E22" s="11" t="s">
        <v>56</v>
      </c>
      <c r="F22" s="11" t="s">
        <v>39</v>
      </c>
      <c r="G22" s="11">
        <v>1166</v>
      </c>
      <c r="H22" s="11">
        <v>677</v>
      </c>
      <c r="I22" s="11"/>
      <c r="J22" s="11">
        <v>2777</v>
      </c>
      <c r="K22" s="11">
        <v>3211</v>
      </c>
      <c r="L22" s="11" t="s">
        <v>95</v>
      </c>
      <c r="M22" s="11">
        <v>73</v>
      </c>
      <c r="N22" s="11">
        <v>16</v>
      </c>
      <c r="O22" s="11">
        <v>511</v>
      </c>
      <c r="P22" s="11">
        <v>85</v>
      </c>
      <c r="Q22" s="11" t="s">
        <v>40</v>
      </c>
      <c r="R22" s="11">
        <v>1227</v>
      </c>
      <c r="S22" s="11">
        <v>1152</v>
      </c>
      <c r="T22" s="11" t="s">
        <v>96</v>
      </c>
      <c r="U22" s="11"/>
      <c r="V22" s="12" t="s">
        <v>25</v>
      </c>
    </row>
    <row r="23" spans="1:22" ht="14.25" customHeight="1">
      <c r="A23" s="10" t="s">
        <v>97</v>
      </c>
      <c r="B23" s="11">
        <v>1975</v>
      </c>
      <c r="C23" s="11" t="s">
        <v>23</v>
      </c>
      <c r="D23" s="11">
        <v>4961</v>
      </c>
      <c r="E23" s="11" t="s">
        <v>98</v>
      </c>
      <c r="F23" s="11" t="s">
        <v>85</v>
      </c>
      <c r="G23" s="11">
        <v>1025</v>
      </c>
      <c r="H23" s="11">
        <v>567</v>
      </c>
      <c r="I23" s="11">
        <v>11</v>
      </c>
      <c r="J23" s="11">
        <v>2254</v>
      </c>
      <c r="K23" s="11">
        <v>2581</v>
      </c>
      <c r="L23" s="11" t="s">
        <v>99</v>
      </c>
      <c r="M23" s="11">
        <v>26</v>
      </c>
      <c r="N23" s="11">
        <v>36</v>
      </c>
      <c r="O23" s="11">
        <v>540</v>
      </c>
      <c r="P23" s="11">
        <v>24</v>
      </c>
      <c r="Q23" s="11">
        <v>40</v>
      </c>
      <c r="R23" s="11">
        <v>179</v>
      </c>
      <c r="S23" s="11">
        <v>1639</v>
      </c>
      <c r="T23" s="11" t="s">
        <v>100</v>
      </c>
      <c r="U23" s="11"/>
      <c r="V23" s="12" t="s">
        <v>25</v>
      </c>
    </row>
    <row r="24" spans="1:22" ht="14.25" customHeight="1">
      <c r="A24" s="10" t="s">
        <v>101</v>
      </c>
      <c r="B24" s="11">
        <v>1999</v>
      </c>
      <c r="C24" s="11" t="s">
        <v>23</v>
      </c>
      <c r="D24" s="11">
        <v>2548</v>
      </c>
      <c r="E24" s="12" t="s">
        <v>25</v>
      </c>
      <c r="F24" s="11" t="s">
        <v>29</v>
      </c>
      <c r="G24" s="11">
        <v>1155</v>
      </c>
      <c r="H24" s="11">
        <v>488</v>
      </c>
      <c r="I24" s="11"/>
      <c r="J24" s="11">
        <v>3843</v>
      </c>
      <c r="K24" s="12" t="s">
        <v>25</v>
      </c>
      <c r="L24" s="11" t="s">
        <v>102</v>
      </c>
      <c r="M24" s="11">
        <v>55</v>
      </c>
      <c r="N24" s="11">
        <v>18</v>
      </c>
      <c r="O24" s="11">
        <v>546</v>
      </c>
      <c r="P24" s="11">
        <v>100</v>
      </c>
      <c r="Q24" s="11" t="s">
        <v>24</v>
      </c>
      <c r="R24" s="12" t="s">
        <v>25</v>
      </c>
      <c r="S24" s="11">
        <v>1956</v>
      </c>
      <c r="T24" s="11" t="s">
        <v>103</v>
      </c>
      <c r="U24" s="11">
        <v>719</v>
      </c>
      <c r="V24" s="12" t="s">
        <v>25</v>
      </c>
    </row>
    <row r="25" spans="1:22" ht="14.25" customHeight="1">
      <c r="A25" s="10" t="s">
        <v>104</v>
      </c>
      <c r="B25" s="11">
        <v>1949</v>
      </c>
      <c r="C25" s="11" t="s">
        <v>23</v>
      </c>
      <c r="D25" s="11">
        <v>5818</v>
      </c>
      <c r="E25" s="11" t="s">
        <v>43</v>
      </c>
      <c r="F25" s="11" t="s">
        <v>39</v>
      </c>
      <c r="G25" s="11">
        <v>1256</v>
      </c>
      <c r="H25" s="11" t="s">
        <v>105</v>
      </c>
      <c r="I25" s="11"/>
      <c r="J25" s="11">
        <v>2390</v>
      </c>
      <c r="K25" s="11">
        <v>3185</v>
      </c>
      <c r="L25" s="11" t="s">
        <v>106</v>
      </c>
      <c r="M25" s="11">
        <v>27</v>
      </c>
      <c r="N25" s="11">
        <v>22</v>
      </c>
      <c r="O25" s="11">
        <v>562</v>
      </c>
      <c r="P25" s="11">
        <v>23</v>
      </c>
      <c r="Q25" s="11" t="s">
        <v>85</v>
      </c>
      <c r="R25" s="12" t="s">
        <v>25</v>
      </c>
      <c r="S25" s="11">
        <v>1381</v>
      </c>
      <c r="T25" s="11" t="s">
        <v>107</v>
      </c>
      <c r="U25" s="11">
        <v>885</v>
      </c>
      <c r="V25" s="12" t="s">
        <v>25</v>
      </c>
    </row>
    <row r="26" spans="1:22" ht="14.25" customHeight="1">
      <c r="A26" s="10" t="s">
        <v>108</v>
      </c>
      <c r="B26" s="11">
        <v>1975</v>
      </c>
      <c r="C26" s="11" t="s">
        <v>23</v>
      </c>
      <c r="D26" s="11">
        <v>3727</v>
      </c>
      <c r="E26" s="12" t="s">
        <v>25</v>
      </c>
      <c r="F26" s="11" t="s">
        <v>85</v>
      </c>
      <c r="G26" s="11">
        <v>866</v>
      </c>
      <c r="H26" s="11">
        <v>474</v>
      </c>
      <c r="I26" s="11"/>
      <c r="J26" s="11">
        <v>3059</v>
      </c>
      <c r="K26" s="11">
        <v>3192</v>
      </c>
      <c r="L26" s="11" t="s">
        <v>109</v>
      </c>
      <c r="M26" s="11">
        <v>15</v>
      </c>
      <c r="N26" s="11">
        <v>30</v>
      </c>
      <c r="O26" s="11">
        <v>596</v>
      </c>
      <c r="P26" s="11">
        <v>40</v>
      </c>
      <c r="Q26" s="11" t="s">
        <v>24</v>
      </c>
      <c r="R26" s="11">
        <v>115</v>
      </c>
      <c r="S26" s="11">
        <v>1287</v>
      </c>
      <c r="T26" s="12" t="s">
        <v>25</v>
      </c>
      <c r="U26" s="11"/>
      <c r="V26" s="12" t="s">
        <v>25</v>
      </c>
    </row>
    <row r="27" spans="1:22" ht="14.25" customHeight="1">
      <c r="A27" s="10" t="s">
        <v>110</v>
      </c>
      <c r="B27" s="11">
        <v>1962</v>
      </c>
      <c r="C27" s="11" t="s">
        <v>111</v>
      </c>
      <c r="D27" s="11">
        <v>4720</v>
      </c>
      <c r="E27" s="12" t="s">
        <v>25</v>
      </c>
      <c r="F27" s="11" t="s">
        <v>112</v>
      </c>
      <c r="G27" s="11">
        <v>869</v>
      </c>
      <c r="H27" s="11">
        <v>326</v>
      </c>
      <c r="I27" s="11">
        <v>4</v>
      </c>
      <c r="J27" s="11">
        <v>2830</v>
      </c>
      <c r="K27" s="11">
        <v>2695</v>
      </c>
      <c r="L27" s="11" t="s">
        <v>113</v>
      </c>
      <c r="M27" s="11">
        <v>10</v>
      </c>
      <c r="N27" s="11">
        <v>33</v>
      </c>
      <c r="O27" s="11">
        <v>599</v>
      </c>
      <c r="P27" s="11">
        <v>5</v>
      </c>
      <c r="Q27" s="12" t="s">
        <v>25</v>
      </c>
      <c r="R27" s="12" t="s">
        <v>25</v>
      </c>
      <c r="S27" s="11">
        <v>1242</v>
      </c>
      <c r="T27" s="11">
        <v>1061</v>
      </c>
      <c r="U27" s="11">
        <v>573</v>
      </c>
      <c r="V27" s="11">
        <v>367</v>
      </c>
    </row>
    <row r="28" spans="1:22" ht="14.25" customHeight="1">
      <c r="A28" s="10" t="s">
        <v>114</v>
      </c>
      <c r="B28" s="11">
        <v>2005</v>
      </c>
      <c r="C28" s="11" t="s">
        <v>23</v>
      </c>
      <c r="D28" s="11">
        <v>3451</v>
      </c>
      <c r="E28" s="12" t="s">
        <v>25</v>
      </c>
      <c r="F28" s="11" t="s">
        <v>85</v>
      </c>
      <c r="G28" s="11">
        <v>1315</v>
      </c>
      <c r="H28" s="11" t="s">
        <v>115</v>
      </c>
      <c r="I28" s="11"/>
      <c r="J28" s="11">
        <v>4415</v>
      </c>
      <c r="K28" s="11">
        <v>1851</v>
      </c>
      <c r="L28" s="11" t="s">
        <v>116</v>
      </c>
      <c r="M28" s="11">
        <v>44</v>
      </c>
      <c r="N28" s="11">
        <v>41</v>
      </c>
      <c r="O28" s="11">
        <v>620</v>
      </c>
      <c r="P28" s="11">
        <v>113</v>
      </c>
      <c r="Q28" s="11" t="s">
        <v>35</v>
      </c>
      <c r="R28" s="11">
        <v>1359</v>
      </c>
      <c r="S28" s="11">
        <v>1722</v>
      </c>
      <c r="T28" s="11" t="s">
        <v>117</v>
      </c>
      <c r="U28" s="12" t="s">
        <v>25</v>
      </c>
      <c r="V28" s="12" t="s">
        <v>25</v>
      </c>
    </row>
    <row r="29" spans="1:22" ht="14.25" customHeight="1">
      <c r="A29" s="10" t="s">
        <v>118</v>
      </c>
      <c r="B29" s="11">
        <v>1976</v>
      </c>
      <c r="C29" s="11" t="s">
        <v>38</v>
      </c>
      <c r="D29" s="11">
        <v>3386</v>
      </c>
      <c r="E29" s="12" t="s">
        <v>25</v>
      </c>
      <c r="F29" s="11" t="s">
        <v>81</v>
      </c>
      <c r="G29" s="11">
        <v>1120</v>
      </c>
      <c r="H29" s="11" t="s">
        <v>84</v>
      </c>
      <c r="I29" s="11">
        <v>58</v>
      </c>
      <c r="J29" s="11">
        <v>4343</v>
      </c>
      <c r="K29" s="11">
        <v>2011</v>
      </c>
      <c r="L29" s="11" t="s">
        <v>119</v>
      </c>
      <c r="M29" s="11">
        <v>122</v>
      </c>
      <c r="N29" s="11">
        <v>93</v>
      </c>
      <c r="O29" s="11">
        <v>620</v>
      </c>
      <c r="P29" s="11">
        <v>46</v>
      </c>
      <c r="Q29" s="11" t="s">
        <v>24</v>
      </c>
      <c r="R29" s="11">
        <v>263</v>
      </c>
      <c r="S29" s="11">
        <v>1408</v>
      </c>
      <c r="T29" s="12" t="s">
        <v>25</v>
      </c>
      <c r="U29" s="11"/>
      <c r="V29" s="12" t="s">
        <v>25</v>
      </c>
    </row>
    <row r="30" spans="1:22" ht="14.25" customHeight="1">
      <c r="A30" s="10" t="s">
        <v>120</v>
      </c>
      <c r="B30" s="11">
        <v>2003</v>
      </c>
      <c r="C30" s="11" t="s">
        <v>23</v>
      </c>
      <c r="D30" s="11">
        <v>3337</v>
      </c>
      <c r="E30" s="12" t="s">
        <v>25</v>
      </c>
      <c r="F30" s="11" t="s">
        <v>53</v>
      </c>
      <c r="G30" s="11">
        <v>1883</v>
      </c>
      <c r="H30" s="11" t="s">
        <v>69</v>
      </c>
      <c r="I30" s="11"/>
      <c r="J30" s="11">
        <v>3481</v>
      </c>
      <c r="K30" s="11">
        <v>1898</v>
      </c>
      <c r="L30" s="11" t="s">
        <v>121</v>
      </c>
      <c r="M30" s="11">
        <v>105</v>
      </c>
      <c r="N30" s="11">
        <v>85</v>
      </c>
      <c r="O30" s="11">
        <v>639</v>
      </c>
      <c r="P30" s="11">
        <v>56</v>
      </c>
      <c r="Q30" s="11" t="s">
        <v>122</v>
      </c>
      <c r="R30" s="11">
        <v>882</v>
      </c>
      <c r="S30" s="11">
        <v>1380</v>
      </c>
      <c r="T30" s="11">
        <v>1796</v>
      </c>
      <c r="U30" s="12" t="s">
        <v>25</v>
      </c>
      <c r="V30" s="12" t="s">
        <v>25</v>
      </c>
    </row>
    <row r="31" spans="1:22" ht="14.25" customHeight="1">
      <c r="A31" s="10" t="s">
        <v>123</v>
      </c>
      <c r="B31" s="11">
        <v>1976</v>
      </c>
      <c r="C31" s="11" t="s">
        <v>38</v>
      </c>
      <c r="D31" s="11">
        <v>3464</v>
      </c>
      <c r="E31" s="12" t="s">
        <v>25</v>
      </c>
      <c r="F31" s="11" t="s">
        <v>81</v>
      </c>
      <c r="G31" s="11">
        <v>1647</v>
      </c>
      <c r="H31" s="12" t="s">
        <v>25</v>
      </c>
      <c r="I31" s="11">
        <v>44</v>
      </c>
      <c r="J31" s="11">
        <v>4517</v>
      </c>
      <c r="K31" s="11">
        <v>2348</v>
      </c>
      <c r="L31" s="11"/>
      <c r="M31" s="11" t="s">
        <v>87</v>
      </c>
      <c r="N31" s="11" t="s">
        <v>124</v>
      </c>
      <c r="O31" s="11">
        <v>648</v>
      </c>
      <c r="P31" s="11"/>
      <c r="Q31" s="11" t="s">
        <v>35</v>
      </c>
      <c r="R31" s="11">
        <v>1394</v>
      </c>
      <c r="S31" s="11">
        <v>1412</v>
      </c>
      <c r="T31" s="11">
        <v>3127</v>
      </c>
      <c r="U31" s="11"/>
      <c r="V31" s="12" t="s">
        <v>25</v>
      </c>
    </row>
    <row r="32" spans="1:22" ht="14.25" customHeight="1">
      <c r="A32" s="10" t="s">
        <v>125</v>
      </c>
      <c r="B32" s="11">
        <v>2005</v>
      </c>
      <c r="C32" s="11" t="s">
        <v>23</v>
      </c>
      <c r="D32" s="11">
        <v>3195</v>
      </c>
      <c r="E32" s="12" t="s">
        <v>25</v>
      </c>
      <c r="F32" s="11" t="s">
        <v>85</v>
      </c>
      <c r="G32" s="11">
        <v>1649</v>
      </c>
      <c r="H32" s="11" t="s">
        <v>53</v>
      </c>
      <c r="I32" s="11"/>
      <c r="J32" s="11">
        <v>4517</v>
      </c>
      <c r="K32" s="11">
        <v>1705</v>
      </c>
      <c r="L32" s="11" t="s">
        <v>126</v>
      </c>
      <c r="M32" s="11">
        <v>67</v>
      </c>
      <c r="N32" s="11">
        <v>55</v>
      </c>
      <c r="O32" s="11">
        <v>648</v>
      </c>
      <c r="P32" s="11">
        <v>162</v>
      </c>
      <c r="Q32" s="11" t="s">
        <v>35</v>
      </c>
      <c r="R32" s="12" t="s">
        <v>25</v>
      </c>
      <c r="S32" s="11">
        <v>1664</v>
      </c>
      <c r="T32" s="12" t="s">
        <v>25</v>
      </c>
      <c r="U32" s="12" t="s">
        <v>25</v>
      </c>
      <c r="V32" s="12" t="s">
        <v>25</v>
      </c>
    </row>
    <row r="33" spans="1:22" ht="14.25" customHeight="1">
      <c r="A33" s="10" t="s">
        <v>127</v>
      </c>
      <c r="B33" s="11">
        <v>2005</v>
      </c>
      <c r="C33" s="11" t="s">
        <v>38</v>
      </c>
      <c r="D33" s="11">
        <v>2875</v>
      </c>
      <c r="E33" s="12" t="s">
        <v>25</v>
      </c>
      <c r="F33" s="11" t="s">
        <v>53</v>
      </c>
      <c r="G33" s="11">
        <v>1119</v>
      </c>
      <c r="H33" s="11" t="s">
        <v>69</v>
      </c>
      <c r="I33" s="11">
        <v>86</v>
      </c>
      <c r="J33" s="11">
        <v>4467</v>
      </c>
      <c r="K33" s="11">
        <v>1819</v>
      </c>
      <c r="L33" s="11">
        <v>6757</v>
      </c>
      <c r="M33" s="11">
        <v>99</v>
      </c>
      <c r="N33" s="11">
        <v>74</v>
      </c>
      <c r="O33" s="11">
        <v>651</v>
      </c>
      <c r="P33" s="11">
        <v>184</v>
      </c>
      <c r="Q33" s="11" t="s">
        <v>35</v>
      </c>
      <c r="R33" s="11">
        <v>372</v>
      </c>
      <c r="S33" s="11">
        <v>1348</v>
      </c>
      <c r="T33" s="12" t="s">
        <v>25</v>
      </c>
      <c r="U33" s="12" t="s">
        <v>25</v>
      </c>
      <c r="V33" s="12" t="s">
        <v>25</v>
      </c>
    </row>
    <row r="34" spans="1:22" ht="14.25" customHeight="1">
      <c r="A34" s="10" t="s">
        <v>128</v>
      </c>
      <c r="B34" s="11">
        <v>1974</v>
      </c>
      <c r="C34" s="11" t="s">
        <v>23</v>
      </c>
      <c r="D34" s="11">
        <v>3534</v>
      </c>
      <c r="E34" s="11" t="s">
        <v>43</v>
      </c>
      <c r="F34" s="11" t="s">
        <v>85</v>
      </c>
      <c r="G34" s="11">
        <v>1461</v>
      </c>
      <c r="H34" s="11" t="s">
        <v>129</v>
      </c>
      <c r="I34" s="11"/>
      <c r="J34" s="11">
        <v>5126</v>
      </c>
      <c r="K34" s="11">
        <v>1357</v>
      </c>
      <c r="L34" s="11" t="s">
        <v>130</v>
      </c>
      <c r="M34" s="11">
        <v>38</v>
      </c>
      <c r="N34" s="11">
        <v>38</v>
      </c>
      <c r="O34" s="11">
        <v>673</v>
      </c>
      <c r="P34" s="11">
        <v>26</v>
      </c>
      <c r="Q34" s="11" t="s">
        <v>40</v>
      </c>
      <c r="R34" s="11">
        <v>1166</v>
      </c>
      <c r="S34" s="11">
        <v>1767</v>
      </c>
      <c r="T34" s="12" t="s">
        <v>25</v>
      </c>
      <c r="U34" s="11">
        <v>821</v>
      </c>
      <c r="V34" s="12" t="s">
        <v>25</v>
      </c>
    </row>
    <row r="35" spans="1:22" ht="14.25" customHeight="1">
      <c r="A35" s="10" t="s">
        <v>131</v>
      </c>
      <c r="B35" s="11">
        <v>1976</v>
      </c>
      <c r="C35" s="11" t="s">
        <v>38</v>
      </c>
      <c r="D35" s="11">
        <v>2510</v>
      </c>
      <c r="E35" s="12" t="s">
        <v>25</v>
      </c>
      <c r="F35" s="11" t="s">
        <v>81</v>
      </c>
      <c r="G35" s="11">
        <v>1720</v>
      </c>
      <c r="H35" s="12" t="s">
        <v>25</v>
      </c>
      <c r="I35" s="11">
        <v>46</v>
      </c>
      <c r="J35" s="11">
        <v>5572</v>
      </c>
      <c r="K35" s="11">
        <v>1502</v>
      </c>
      <c r="L35" s="11">
        <v>5698</v>
      </c>
      <c r="M35" s="11">
        <v>114</v>
      </c>
      <c r="N35" s="11" t="s">
        <v>124</v>
      </c>
      <c r="O35" s="11">
        <v>682</v>
      </c>
      <c r="P35" s="11">
        <v>131</v>
      </c>
      <c r="Q35" s="11" t="s">
        <v>85</v>
      </c>
      <c r="R35" s="12" t="s">
        <v>25</v>
      </c>
      <c r="S35" s="11">
        <v>1445</v>
      </c>
      <c r="T35" s="11">
        <v>1716</v>
      </c>
      <c r="U35" s="12" t="s">
        <v>25</v>
      </c>
      <c r="V35" s="12" t="s">
        <v>25</v>
      </c>
    </row>
    <row r="36" spans="1:22" ht="14.25" customHeight="1">
      <c r="A36" s="10" t="s">
        <v>132</v>
      </c>
      <c r="B36" s="11">
        <v>2005</v>
      </c>
      <c r="C36" s="11" t="s">
        <v>23</v>
      </c>
      <c r="D36" s="11">
        <v>4233</v>
      </c>
      <c r="E36" s="11" t="s">
        <v>43</v>
      </c>
      <c r="F36" s="11" t="s">
        <v>85</v>
      </c>
      <c r="G36" s="11">
        <v>1148</v>
      </c>
      <c r="H36" s="12" t="s">
        <v>25</v>
      </c>
      <c r="I36" s="11">
        <v>47</v>
      </c>
      <c r="J36" s="11">
        <v>4146</v>
      </c>
      <c r="K36" s="11">
        <v>2148</v>
      </c>
      <c r="L36" s="11" t="s">
        <v>133</v>
      </c>
      <c r="M36" s="11">
        <v>89</v>
      </c>
      <c r="N36" s="11">
        <v>59</v>
      </c>
      <c r="O36" s="11">
        <v>688</v>
      </c>
      <c r="P36" s="11">
        <v>84</v>
      </c>
      <c r="Q36" s="11" t="s">
        <v>58</v>
      </c>
      <c r="R36" s="12" t="s">
        <v>25</v>
      </c>
      <c r="S36" s="11">
        <v>1469</v>
      </c>
      <c r="T36" s="12" t="s">
        <v>25</v>
      </c>
      <c r="U36" s="12" t="s">
        <v>25</v>
      </c>
      <c r="V36" s="12" t="s">
        <v>25</v>
      </c>
    </row>
    <row r="37" spans="1:22" ht="14.25" customHeight="1">
      <c r="A37" s="10" t="s">
        <v>134</v>
      </c>
      <c r="B37" s="11">
        <v>1986</v>
      </c>
      <c r="C37" s="11" t="s">
        <v>111</v>
      </c>
      <c r="D37" s="11">
        <v>2972</v>
      </c>
      <c r="E37" s="12" t="s">
        <v>25</v>
      </c>
      <c r="F37" s="11" t="s">
        <v>135</v>
      </c>
      <c r="G37" s="11">
        <v>945</v>
      </c>
      <c r="H37" s="11">
        <v>449</v>
      </c>
      <c r="I37" s="11">
        <v>13</v>
      </c>
      <c r="J37" s="11">
        <v>3706</v>
      </c>
      <c r="K37" s="11">
        <v>2790</v>
      </c>
      <c r="L37" s="11">
        <v>1371</v>
      </c>
      <c r="M37" s="11">
        <v>16</v>
      </c>
      <c r="N37" s="11">
        <v>69</v>
      </c>
      <c r="O37" s="11">
        <v>713</v>
      </c>
      <c r="P37" s="11">
        <v>13</v>
      </c>
      <c r="Q37" s="11" t="s">
        <v>40</v>
      </c>
      <c r="R37" s="11">
        <v>116</v>
      </c>
      <c r="S37" s="11">
        <v>1246</v>
      </c>
      <c r="T37" s="11">
        <v>1184</v>
      </c>
      <c r="U37" s="11"/>
      <c r="V37" s="12" t="s">
        <v>25</v>
      </c>
    </row>
    <row r="38" spans="1:22" ht="14.25" customHeight="1">
      <c r="A38" s="10" t="s">
        <v>136</v>
      </c>
      <c r="B38" s="11">
        <v>1976</v>
      </c>
      <c r="C38" s="11" t="s">
        <v>38</v>
      </c>
      <c r="D38" s="11">
        <v>2427</v>
      </c>
      <c r="E38" s="12" t="s">
        <v>25</v>
      </c>
      <c r="F38" s="11" t="s">
        <v>53</v>
      </c>
      <c r="G38" s="11">
        <v>1782</v>
      </c>
      <c r="H38" s="12" t="s">
        <v>25</v>
      </c>
      <c r="I38" s="11">
        <v>87</v>
      </c>
      <c r="J38" s="11">
        <v>3557</v>
      </c>
      <c r="K38" s="11">
        <v>1776</v>
      </c>
      <c r="L38" s="11" t="s">
        <v>137</v>
      </c>
      <c r="M38" s="11">
        <v>139</v>
      </c>
      <c r="N38" s="11">
        <v>95</v>
      </c>
      <c r="O38" s="11">
        <v>747</v>
      </c>
      <c r="P38" s="11">
        <v>141</v>
      </c>
      <c r="Q38" s="11" t="s">
        <v>58</v>
      </c>
      <c r="R38" s="11">
        <v>565</v>
      </c>
      <c r="S38" s="11">
        <v>1496</v>
      </c>
      <c r="T38" s="11">
        <v>2753</v>
      </c>
      <c r="U38" s="12" t="s">
        <v>25</v>
      </c>
      <c r="V38" s="12" t="s">
        <v>25</v>
      </c>
    </row>
    <row r="39" spans="1:22" ht="14.25" customHeight="1">
      <c r="A39" s="10" t="s">
        <v>138</v>
      </c>
      <c r="B39" s="11">
        <v>1957</v>
      </c>
      <c r="C39" s="11" t="s">
        <v>139</v>
      </c>
      <c r="D39" s="11">
        <v>4596</v>
      </c>
      <c r="E39" s="12" t="s">
        <v>25</v>
      </c>
      <c r="F39" s="11" t="s">
        <v>140</v>
      </c>
      <c r="G39" s="11">
        <v>1023</v>
      </c>
      <c r="H39" s="11" t="s">
        <v>53</v>
      </c>
      <c r="I39" s="11"/>
      <c r="J39" s="11">
        <v>4297</v>
      </c>
      <c r="K39" s="13">
        <v>3955</v>
      </c>
      <c r="L39" s="11">
        <v>2841</v>
      </c>
      <c r="M39" s="11">
        <v>118</v>
      </c>
      <c r="N39" s="11">
        <v>84</v>
      </c>
      <c r="O39" s="11">
        <v>762</v>
      </c>
      <c r="P39" s="11">
        <v>39</v>
      </c>
      <c r="Q39" s="11" t="s">
        <v>35</v>
      </c>
      <c r="R39" s="11">
        <v>1378</v>
      </c>
      <c r="S39" s="11">
        <v>1011</v>
      </c>
      <c r="T39" s="11">
        <v>2108</v>
      </c>
      <c r="U39" s="11">
        <v>1067</v>
      </c>
      <c r="V39" s="12" t="s">
        <v>25</v>
      </c>
    </row>
    <row r="40" spans="1:22" ht="14.25" customHeight="1">
      <c r="A40" s="10" t="s">
        <v>141</v>
      </c>
      <c r="B40" s="11">
        <v>1957</v>
      </c>
      <c r="C40" s="11" t="s">
        <v>142</v>
      </c>
      <c r="D40" s="11">
        <v>6805</v>
      </c>
      <c r="E40" s="12" t="s">
        <v>25</v>
      </c>
      <c r="F40" s="11">
        <v>1501</v>
      </c>
      <c r="G40" s="11">
        <v>2053</v>
      </c>
      <c r="H40" s="11" t="s">
        <v>66</v>
      </c>
      <c r="I40" s="11">
        <v>14</v>
      </c>
      <c r="J40" s="11">
        <v>3279</v>
      </c>
      <c r="K40" s="11">
        <v>3064</v>
      </c>
      <c r="L40" s="11" t="s">
        <v>143</v>
      </c>
      <c r="M40" s="11">
        <v>38</v>
      </c>
      <c r="N40" s="11">
        <v>20</v>
      </c>
      <c r="O40" s="12" t="s">
        <v>25</v>
      </c>
      <c r="P40" s="11">
        <v>50</v>
      </c>
      <c r="Q40" s="11" t="s">
        <v>85</v>
      </c>
      <c r="R40" s="11">
        <v>234</v>
      </c>
      <c r="S40" s="11">
        <v>1993</v>
      </c>
      <c r="T40" s="11">
        <v>2940</v>
      </c>
      <c r="U40" s="12" t="s">
        <v>25</v>
      </c>
      <c r="V40" s="11">
        <v>612</v>
      </c>
    </row>
    <row r="41" spans="1:22" ht="14.25" customHeight="1">
      <c r="A41" s="10" t="s">
        <v>144</v>
      </c>
      <c r="B41" s="11">
        <v>1924</v>
      </c>
      <c r="C41" s="11" t="s">
        <v>145</v>
      </c>
      <c r="D41" s="11">
        <v>5986</v>
      </c>
      <c r="E41" s="11" t="s">
        <v>52</v>
      </c>
      <c r="F41" s="11" t="s">
        <v>146</v>
      </c>
      <c r="G41" s="11">
        <v>1793</v>
      </c>
      <c r="H41" s="11">
        <v>477</v>
      </c>
      <c r="I41" s="11"/>
      <c r="J41" s="11">
        <v>4199</v>
      </c>
      <c r="K41" s="12" t="s">
        <v>25</v>
      </c>
      <c r="L41" s="11" t="s">
        <v>147</v>
      </c>
      <c r="M41" s="11">
        <v>24</v>
      </c>
      <c r="N41" s="11">
        <v>9</v>
      </c>
      <c r="O41" s="12" t="s">
        <v>25</v>
      </c>
      <c r="P41" s="11">
        <v>45</v>
      </c>
      <c r="Q41" s="11" t="s">
        <v>50</v>
      </c>
      <c r="R41" s="11">
        <v>171</v>
      </c>
      <c r="S41" s="11">
        <v>1292</v>
      </c>
      <c r="T41" s="11">
        <v>1375</v>
      </c>
      <c r="U41" s="12" t="s">
        <v>25</v>
      </c>
      <c r="V41" s="11">
        <v>823</v>
      </c>
    </row>
    <row r="42" spans="1:22" ht="14.25" customHeight="1">
      <c r="A42" s="10" t="s">
        <v>148</v>
      </c>
      <c r="B42" s="11">
        <v>1987</v>
      </c>
      <c r="C42" s="11" t="s">
        <v>149</v>
      </c>
      <c r="D42" s="11">
        <v>4383</v>
      </c>
      <c r="E42" s="12" t="s">
        <v>25</v>
      </c>
      <c r="F42" s="11" t="s">
        <v>135</v>
      </c>
      <c r="G42" s="11">
        <v>1819</v>
      </c>
      <c r="H42" s="11">
        <v>655</v>
      </c>
      <c r="I42" s="11">
        <v>9</v>
      </c>
      <c r="J42" s="11">
        <v>6668</v>
      </c>
      <c r="K42" s="11">
        <v>2415</v>
      </c>
      <c r="L42" s="11">
        <v>6533</v>
      </c>
      <c r="M42" s="11">
        <v>41</v>
      </c>
      <c r="N42" s="11">
        <v>47</v>
      </c>
      <c r="O42" s="12" t="s">
        <v>25</v>
      </c>
      <c r="P42" s="11">
        <v>173</v>
      </c>
      <c r="Q42" s="11" t="s">
        <v>50</v>
      </c>
      <c r="R42" s="12" t="s">
        <v>25</v>
      </c>
      <c r="S42" s="11">
        <v>995</v>
      </c>
      <c r="T42" s="12" t="s">
        <v>25</v>
      </c>
      <c r="U42" s="11"/>
      <c r="V42" s="11">
        <v>978</v>
      </c>
    </row>
    <row r="43" spans="1:22" ht="14.25" customHeight="1">
      <c r="A43" s="10" t="s">
        <v>150</v>
      </c>
      <c r="B43" s="11">
        <v>1986</v>
      </c>
      <c r="C43" s="11" t="s">
        <v>149</v>
      </c>
      <c r="D43" s="11">
        <v>4009</v>
      </c>
      <c r="E43" s="12" t="s">
        <v>25</v>
      </c>
      <c r="F43" s="11" t="s">
        <v>81</v>
      </c>
      <c r="G43" s="11">
        <v>1014</v>
      </c>
      <c r="H43" s="11" t="s">
        <v>53</v>
      </c>
      <c r="I43" s="11">
        <v>18</v>
      </c>
      <c r="J43" s="11">
        <v>7860</v>
      </c>
      <c r="K43" s="11">
        <v>3635</v>
      </c>
      <c r="L43" s="11">
        <v>7284</v>
      </c>
      <c r="M43" s="11">
        <v>66</v>
      </c>
      <c r="N43" s="11">
        <v>97</v>
      </c>
      <c r="O43" s="12" t="s">
        <v>25</v>
      </c>
      <c r="P43" s="12" t="s">
        <v>25</v>
      </c>
      <c r="Q43" s="11" t="s">
        <v>85</v>
      </c>
      <c r="R43" s="11">
        <v>1141</v>
      </c>
      <c r="S43" s="11">
        <v>1179</v>
      </c>
      <c r="T43" s="11">
        <v>1322</v>
      </c>
      <c r="U43" s="11">
        <v>1036</v>
      </c>
      <c r="V43" s="11">
        <v>1095</v>
      </c>
    </row>
    <row r="44" spans="1:22" ht="14.25" customHeight="1">
      <c r="A44" s="10" t="s">
        <v>151</v>
      </c>
      <c r="B44" s="11">
        <v>1975</v>
      </c>
      <c r="C44" s="11" t="s">
        <v>139</v>
      </c>
      <c r="D44" s="11">
        <v>3727</v>
      </c>
      <c r="E44" s="11" t="s">
        <v>43</v>
      </c>
      <c r="F44" s="11" t="s">
        <v>152</v>
      </c>
      <c r="G44" s="11">
        <v>1390</v>
      </c>
      <c r="H44" s="11"/>
      <c r="I44" s="12" t="s">
        <v>25</v>
      </c>
      <c r="J44" s="11">
        <v>4347</v>
      </c>
      <c r="K44" s="11">
        <v>2835</v>
      </c>
      <c r="L44" s="11" t="s">
        <v>153</v>
      </c>
      <c r="M44" s="12" t="s">
        <v>25</v>
      </c>
      <c r="N44" s="11" t="s">
        <v>154</v>
      </c>
      <c r="O44" s="12" t="s">
        <v>25</v>
      </c>
      <c r="P44" s="11">
        <v>59</v>
      </c>
      <c r="Q44" s="11" t="s">
        <v>35</v>
      </c>
      <c r="R44" s="12" t="s">
        <v>25</v>
      </c>
      <c r="S44" s="11">
        <v>1155</v>
      </c>
      <c r="T44" s="11">
        <v>2599</v>
      </c>
      <c r="U44" s="11"/>
      <c r="V44" s="12" t="s">
        <v>25</v>
      </c>
    </row>
    <row r="45" spans="1:22" ht="14.25" customHeight="1">
      <c r="A45" s="10" t="s">
        <v>155</v>
      </c>
      <c r="B45" s="11">
        <v>1975</v>
      </c>
      <c r="C45" s="11" t="s">
        <v>139</v>
      </c>
      <c r="D45" s="11">
        <v>3712</v>
      </c>
      <c r="E45" s="12" t="s">
        <v>25</v>
      </c>
      <c r="F45" s="11" t="s">
        <v>140</v>
      </c>
      <c r="G45" s="11">
        <v>1710</v>
      </c>
      <c r="H45" s="11"/>
      <c r="I45" s="12" t="s">
        <v>25</v>
      </c>
      <c r="J45" s="11">
        <v>5457</v>
      </c>
      <c r="K45" s="13">
        <v>2811</v>
      </c>
      <c r="L45" s="11" t="s">
        <v>156</v>
      </c>
      <c r="M45" s="11">
        <v>149</v>
      </c>
      <c r="N45" s="11" t="s">
        <v>124</v>
      </c>
      <c r="O45" s="12" t="s">
        <v>25</v>
      </c>
      <c r="P45" s="11">
        <v>60</v>
      </c>
      <c r="Q45" s="11" t="s">
        <v>58</v>
      </c>
      <c r="R45" s="12" t="s">
        <v>25</v>
      </c>
      <c r="S45" s="11">
        <v>1892</v>
      </c>
      <c r="T45" s="12" t="s">
        <v>25</v>
      </c>
      <c r="U45" s="11">
        <v>815</v>
      </c>
      <c r="V45" s="12" t="s">
        <v>25</v>
      </c>
    </row>
    <row r="46" spans="1:22" ht="14.25" customHeight="1">
      <c r="A46" s="10" t="s">
        <v>157</v>
      </c>
      <c r="B46" s="11">
        <v>2006</v>
      </c>
      <c r="C46" s="11" t="s">
        <v>23</v>
      </c>
      <c r="D46" s="11">
        <v>3425</v>
      </c>
      <c r="E46" s="12" t="s">
        <v>25</v>
      </c>
      <c r="F46" s="11" t="s">
        <v>85</v>
      </c>
      <c r="G46" s="11">
        <v>1512</v>
      </c>
      <c r="H46" s="11" t="s">
        <v>53</v>
      </c>
      <c r="I46" s="11">
        <v>33</v>
      </c>
      <c r="J46" s="11">
        <v>4497</v>
      </c>
      <c r="K46" s="11">
        <v>1325</v>
      </c>
      <c r="L46" s="11" t="s">
        <v>158</v>
      </c>
      <c r="M46" s="11">
        <v>78</v>
      </c>
      <c r="N46" s="11">
        <v>48</v>
      </c>
      <c r="O46" s="12" t="s">
        <v>25</v>
      </c>
      <c r="P46" s="11">
        <v>93</v>
      </c>
      <c r="Q46" s="11" t="s">
        <v>40</v>
      </c>
      <c r="R46" s="12" t="s">
        <v>25</v>
      </c>
      <c r="S46" s="11">
        <v>1648</v>
      </c>
      <c r="T46" s="12" t="s">
        <v>25</v>
      </c>
      <c r="U46" s="12" t="s">
        <v>25</v>
      </c>
      <c r="V46" s="12" t="s">
        <v>25</v>
      </c>
    </row>
    <row r="47" spans="1:22" ht="14.25" customHeight="1">
      <c r="A47" s="10" t="s">
        <v>159</v>
      </c>
      <c r="B47" s="11">
        <v>1975</v>
      </c>
      <c r="C47" s="11" t="s">
        <v>142</v>
      </c>
      <c r="D47" s="11">
        <v>2909</v>
      </c>
      <c r="E47" s="12" t="s">
        <v>25</v>
      </c>
      <c r="F47" s="11" t="s">
        <v>160</v>
      </c>
      <c r="G47" s="11">
        <v>1518</v>
      </c>
      <c r="H47" s="12" t="s">
        <v>25</v>
      </c>
      <c r="I47" s="11">
        <v>50</v>
      </c>
      <c r="J47" s="11">
        <v>5151</v>
      </c>
      <c r="K47" s="11">
        <v>1984</v>
      </c>
      <c r="L47" s="11" t="s">
        <v>161</v>
      </c>
      <c r="M47" s="11">
        <v>98</v>
      </c>
      <c r="N47" s="11">
        <v>31</v>
      </c>
      <c r="O47" s="12" t="s">
        <v>25</v>
      </c>
      <c r="P47" s="11">
        <v>152</v>
      </c>
      <c r="Q47" s="11" t="s">
        <v>162</v>
      </c>
      <c r="R47" s="11">
        <v>966</v>
      </c>
      <c r="S47" s="11"/>
      <c r="T47" s="12" t="s">
        <v>25</v>
      </c>
      <c r="U47" s="11">
        <v>868</v>
      </c>
      <c r="V47" s="12" t="s">
        <v>25</v>
      </c>
    </row>
    <row r="48" spans="1:22" ht="14.25" customHeight="1">
      <c r="A48" s="10" t="s">
        <v>163</v>
      </c>
      <c r="B48" s="11">
        <v>2004</v>
      </c>
      <c r="C48" s="11" t="s">
        <v>149</v>
      </c>
      <c r="D48" s="11">
        <v>2863</v>
      </c>
      <c r="E48" s="12" t="s">
        <v>25</v>
      </c>
      <c r="F48" s="11" t="s">
        <v>35</v>
      </c>
      <c r="G48" s="11">
        <v>1472</v>
      </c>
      <c r="H48" s="12" t="s">
        <v>25</v>
      </c>
      <c r="I48" s="11">
        <v>9</v>
      </c>
      <c r="J48" s="11">
        <v>6668</v>
      </c>
      <c r="K48" s="11">
        <v>2415</v>
      </c>
      <c r="L48" s="11">
        <v>6533</v>
      </c>
      <c r="M48" s="11">
        <v>101</v>
      </c>
      <c r="N48" s="11" t="s">
        <v>164</v>
      </c>
      <c r="O48" s="12" t="s">
        <v>25</v>
      </c>
      <c r="P48" s="11">
        <v>173</v>
      </c>
      <c r="Q48" s="11" t="s">
        <v>122</v>
      </c>
      <c r="R48" s="11">
        <v>1177</v>
      </c>
      <c r="S48" s="11">
        <v>1401</v>
      </c>
      <c r="T48" s="11">
        <v>2028</v>
      </c>
      <c r="U48" s="11"/>
      <c r="V48" s="11">
        <v>991</v>
      </c>
    </row>
    <row r="49" spans="1:22" ht="14.25" customHeight="1">
      <c r="A49" s="10" t="s">
        <v>165</v>
      </c>
      <c r="B49" s="11">
        <v>2013</v>
      </c>
      <c r="C49" s="11" t="s">
        <v>23</v>
      </c>
      <c r="D49" s="11">
        <v>2848</v>
      </c>
      <c r="E49" s="12" t="s">
        <v>25</v>
      </c>
      <c r="F49" s="11" t="s">
        <v>81</v>
      </c>
      <c r="G49" s="11">
        <v>1794</v>
      </c>
      <c r="H49" s="12" t="s">
        <v>25</v>
      </c>
      <c r="I49" s="11"/>
      <c r="J49" s="11">
        <v>4444</v>
      </c>
      <c r="K49" s="11">
        <v>1570</v>
      </c>
      <c r="L49" s="11" t="s">
        <v>166</v>
      </c>
      <c r="M49" s="12" t="s">
        <v>25</v>
      </c>
      <c r="N49" s="11">
        <v>83</v>
      </c>
      <c r="O49" s="12" t="s">
        <v>25</v>
      </c>
      <c r="P49" s="11">
        <v>86</v>
      </c>
      <c r="Q49" s="11" t="s">
        <v>35</v>
      </c>
      <c r="R49" s="11">
        <v>1382</v>
      </c>
      <c r="S49" s="11">
        <v>1802</v>
      </c>
      <c r="T49" s="12" t="s">
        <v>25</v>
      </c>
      <c r="U49" s="12" t="s">
        <v>25</v>
      </c>
      <c r="V49" s="12" t="s">
        <v>25</v>
      </c>
    </row>
    <row r="50" spans="1:22" ht="14.25" customHeight="1">
      <c r="A50" s="10" t="s">
        <v>167</v>
      </c>
      <c r="B50" s="11">
        <v>1986</v>
      </c>
      <c r="C50" s="11" t="s">
        <v>168</v>
      </c>
      <c r="D50" s="11">
        <v>2828</v>
      </c>
      <c r="E50" s="12" t="s">
        <v>25</v>
      </c>
      <c r="F50" s="11" t="s">
        <v>28</v>
      </c>
      <c r="G50" s="11">
        <v>771</v>
      </c>
      <c r="H50" s="11">
        <v>306</v>
      </c>
      <c r="I50" s="11">
        <v>3</v>
      </c>
      <c r="J50" s="11">
        <v>3787</v>
      </c>
      <c r="K50" s="11">
        <v>2138</v>
      </c>
      <c r="L50" s="11" t="s">
        <v>169</v>
      </c>
      <c r="M50" s="11">
        <v>8</v>
      </c>
      <c r="N50" s="11">
        <v>37</v>
      </c>
      <c r="O50" s="12" t="s">
        <v>25</v>
      </c>
      <c r="P50" s="11">
        <v>30</v>
      </c>
      <c r="Q50" s="11" t="s">
        <v>58</v>
      </c>
      <c r="R50" s="12" t="s">
        <v>25</v>
      </c>
      <c r="S50" s="11">
        <v>1255</v>
      </c>
      <c r="T50" s="11" t="s">
        <v>170</v>
      </c>
      <c r="U50" s="11"/>
      <c r="V50" s="11">
        <v>528</v>
      </c>
    </row>
    <row r="51" spans="1:22" ht="14.25" customHeight="1">
      <c r="A51" s="10" t="s">
        <v>171</v>
      </c>
      <c r="B51" s="11">
        <v>2005</v>
      </c>
      <c r="C51" s="11" t="s">
        <v>23</v>
      </c>
      <c r="D51" s="11">
        <v>2777</v>
      </c>
      <c r="E51" s="12" t="s">
        <v>25</v>
      </c>
      <c r="F51" s="11" t="s">
        <v>35</v>
      </c>
      <c r="G51" s="11">
        <v>1490</v>
      </c>
      <c r="H51" s="11"/>
      <c r="I51" s="12" t="s">
        <v>25</v>
      </c>
      <c r="J51" s="11">
        <v>4550</v>
      </c>
      <c r="K51" s="12" t="s">
        <v>25</v>
      </c>
      <c r="L51" s="11" t="s">
        <v>172</v>
      </c>
      <c r="M51" s="12" t="s">
        <v>25</v>
      </c>
      <c r="N51" s="11">
        <v>50</v>
      </c>
      <c r="O51" s="12" t="s">
        <v>25</v>
      </c>
      <c r="P51" s="11">
        <v>98</v>
      </c>
      <c r="Q51" s="11" t="s">
        <v>58</v>
      </c>
      <c r="R51" s="11">
        <v>671</v>
      </c>
      <c r="S51" s="11">
        <v>1262</v>
      </c>
      <c r="T51" s="11" t="s">
        <v>173</v>
      </c>
      <c r="U51" s="11">
        <v>903</v>
      </c>
      <c r="V51" s="12" t="s">
        <v>25</v>
      </c>
    </row>
    <row r="52" spans="1:22" ht="14.25" customHeight="1">
      <c r="A52" s="10" t="s">
        <v>174</v>
      </c>
      <c r="B52" s="11">
        <v>1975</v>
      </c>
      <c r="C52" s="11" t="s">
        <v>38</v>
      </c>
      <c r="D52" s="11">
        <v>2586</v>
      </c>
      <c r="E52" s="12" t="s">
        <v>25</v>
      </c>
      <c r="F52" s="12" t="s">
        <v>25</v>
      </c>
      <c r="G52" s="11">
        <v>1498</v>
      </c>
      <c r="H52" s="11" t="s">
        <v>69</v>
      </c>
      <c r="I52" s="11">
        <v>36</v>
      </c>
      <c r="J52" s="11">
        <v>5111</v>
      </c>
      <c r="K52" s="11">
        <v>1574</v>
      </c>
      <c r="L52" s="11">
        <v>2858</v>
      </c>
      <c r="M52" s="11">
        <v>84</v>
      </c>
      <c r="N52" s="11" t="s">
        <v>175</v>
      </c>
      <c r="O52" s="12" t="s">
        <v>25</v>
      </c>
      <c r="P52" s="11"/>
      <c r="Q52" s="11" t="s">
        <v>35</v>
      </c>
      <c r="R52" s="11">
        <v>1005</v>
      </c>
      <c r="S52" s="11">
        <v>1377</v>
      </c>
      <c r="T52" s="12" t="s">
        <v>25</v>
      </c>
      <c r="U52" s="12" t="s">
        <v>25</v>
      </c>
      <c r="V52" s="12" t="s">
        <v>25</v>
      </c>
    </row>
    <row r="53" spans="1:22" ht="14.25" customHeight="1">
      <c r="A53" s="10" t="s">
        <v>176</v>
      </c>
      <c r="B53" s="11">
        <v>1963</v>
      </c>
      <c r="C53" s="11" t="s">
        <v>142</v>
      </c>
      <c r="D53" s="11">
        <v>2566</v>
      </c>
      <c r="E53" s="12" t="s">
        <v>25</v>
      </c>
      <c r="F53" s="11">
        <v>1501</v>
      </c>
      <c r="G53" s="11">
        <v>2652</v>
      </c>
      <c r="H53" s="11" t="s">
        <v>53</v>
      </c>
      <c r="I53" s="11">
        <v>31</v>
      </c>
      <c r="J53" s="11">
        <v>5298</v>
      </c>
      <c r="K53" s="11">
        <v>1693</v>
      </c>
      <c r="L53" s="11" t="s">
        <v>177</v>
      </c>
      <c r="M53" s="11">
        <v>69</v>
      </c>
      <c r="N53" s="11">
        <v>37</v>
      </c>
      <c r="O53" s="12" t="s">
        <v>25</v>
      </c>
      <c r="P53" s="11">
        <v>74</v>
      </c>
      <c r="Q53" s="11" t="s">
        <v>58</v>
      </c>
      <c r="R53" s="11">
        <v>485</v>
      </c>
      <c r="S53" s="11"/>
      <c r="T53" s="12" t="s">
        <v>25</v>
      </c>
      <c r="U53" s="11">
        <v>796</v>
      </c>
      <c r="V53" s="12" t="s">
        <v>25</v>
      </c>
    </row>
    <row r="54" spans="1:22" ht="14.25" customHeight="1">
      <c r="A54" s="10" t="s">
        <v>178</v>
      </c>
      <c r="B54" s="11">
        <v>2006</v>
      </c>
      <c r="C54" s="11" t="s">
        <v>23</v>
      </c>
      <c r="D54" s="11">
        <v>2490</v>
      </c>
      <c r="E54" s="12" t="s">
        <v>25</v>
      </c>
      <c r="F54" s="11" t="s">
        <v>35</v>
      </c>
      <c r="G54" s="11">
        <v>1624</v>
      </c>
      <c r="H54" s="12" t="s">
        <v>25</v>
      </c>
      <c r="I54" s="11">
        <v>130</v>
      </c>
      <c r="J54" s="11">
        <v>4276</v>
      </c>
      <c r="K54" s="12" t="s">
        <v>25</v>
      </c>
      <c r="L54" s="11">
        <v>6098</v>
      </c>
      <c r="M54" s="11">
        <v>132</v>
      </c>
      <c r="N54" s="11">
        <v>57</v>
      </c>
      <c r="O54" s="12" t="s">
        <v>25</v>
      </c>
      <c r="P54" s="11">
        <v>151</v>
      </c>
      <c r="Q54" s="11" t="s">
        <v>122</v>
      </c>
      <c r="R54" s="12" t="s">
        <v>25</v>
      </c>
      <c r="S54" s="11"/>
      <c r="T54" s="11" t="s">
        <v>179</v>
      </c>
      <c r="U54" s="12" t="s">
        <v>25</v>
      </c>
      <c r="V54" s="12" t="s">
        <v>25</v>
      </c>
    </row>
    <row r="55" spans="1:22" ht="14.25" customHeight="1">
      <c r="A55" s="10" t="s">
        <v>180</v>
      </c>
      <c r="B55" s="11">
        <v>1987</v>
      </c>
      <c r="C55" s="11" t="s">
        <v>149</v>
      </c>
      <c r="D55" s="11">
        <v>2498</v>
      </c>
      <c r="E55" s="12" t="s">
        <v>25</v>
      </c>
      <c r="F55" s="11">
        <v>1500</v>
      </c>
      <c r="G55" s="11">
        <v>2072</v>
      </c>
      <c r="H55" s="12" t="s">
        <v>25</v>
      </c>
      <c r="I55" s="12" t="s">
        <v>25</v>
      </c>
      <c r="J55" s="11" t="s">
        <v>181</v>
      </c>
      <c r="K55" s="11">
        <v>1350</v>
      </c>
      <c r="L55" s="11">
        <v>7283</v>
      </c>
      <c r="M55" s="11">
        <v>94</v>
      </c>
      <c r="N55" s="11" t="s">
        <v>164</v>
      </c>
      <c r="O55" s="12" t="s">
        <v>25</v>
      </c>
      <c r="P55" s="12" t="s">
        <v>25</v>
      </c>
      <c r="Q55" s="12" t="s">
        <v>25</v>
      </c>
      <c r="R55" s="11">
        <v>688</v>
      </c>
      <c r="S55" s="11">
        <v>1426</v>
      </c>
      <c r="T55" s="11">
        <v>2152</v>
      </c>
      <c r="U55" s="11">
        <v>863</v>
      </c>
      <c r="V55" s="11">
        <v>1119</v>
      </c>
    </row>
    <row r="56" spans="1:22" ht="14.25" customHeight="1">
      <c r="A56" s="10" t="s">
        <v>182</v>
      </c>
      <c r="B56" s="11">
        <v>1991</v>
      </c>
      <c r="C56" s="11" t="s">
        <v>142</v>
      </c>
      <c r="D56" s="11">
        <v>2471</v>
      </c>
      <c r="E56" s="12" t="s">
        <v>25</v>
      </c>
      <c r="F56" s="11">
        <v>1501</v>
      </c>
      <c r="G56" s="11">
        <v>2196</v>
      </c>
      <c r="H56" s="12" t="s">
        <v>25</v>
      </c>
      <c r="I56" s="11">
        <v>77</v>
      </c>
      <c r="J56" s="11">
        <v>6143</v>
      </c>
      <c r="K56" s="11">
        <v>1500</v>
      </c>
      <c r="L56" s="11">
        <v>4051</v>
      </c>
      <c r="M56" s="11">
        <v>86</v>
      </c>
      <c r="N56" s="11" t="s">
        <v>183</v>
      </c>
      <c r="O56" s="12" t="s">
        <v>25</v>
      </c>
      <c r="P56" s="11">
        <v>74</v>
      </c>
      <c r="Q56" s="11" t="s">
        <v>35</v>
      </c>
      <c r="R56" s="11">
        <v>119</v>
      </c>
      <c r="S56" s="11"/>
      <c r="T56" s="12" t="s">
        <v>25</v>
      </c>
      <c r="U56" s="11"/>
      <c r="V56" s="12" t="s">
        <v>25</v>
      </c>
    </row>
    <row r="57" spans="1:22" ht="14.25" customHeight="1">
      <c r="A57" s="10" t="s">
        <v>184</v>
      </c>
      <c r="B57" s="11">
        <v>2010</v>
      </c>
      <c r="C57" s="11" t="s">
        <v>142</v>
      </c>
      <c r="D57" s="11">
        <v>2491</v>
      </c>
      <c r="E57" s="12" t="s">
        <v>25</v>
      </c>
      <c r="F57" s="12" t="s">
        <v>25</v>
      </c>
      <c r="G57" s="11">
        <v>4823</v>
      </c>
      <c r="H57" s="12" t="s">
        <v>25</v>
      </c>
      <c r="I57" s="11">
        <v>62</v>
      </c>
      <c r="J57" s="11">
        <v>6776</v>
      </c>
      <c r="K57" s="12" t="s">
        <v>25</v>
      </c>
      <c r="L57" s="12" t="s">
        <v>25</v>
      </c>
      <c r="M57" s="11"/>
      <c r="N57" s="11" t="s">
        <v>185</v>
      </c>
      <c r="O57" s="12" t="s">
        <v>25</v>
      </c>
      <c r="P57" s="12" t="s">
        <v>25</v>
      </c>
      <c r="Q57" s="11" t="s">
        <v>24</v>
      </c>
      <c r="R57" s="11">
        <v>163</v>
      </c>
      <c r="S57" s="11"/>
      <c r="T57" s="12" t="s">
        <v>25</v>
      </c>
      <c r="U57" s="11"/>
      <c r="V57" s="12" t="s">
        <v>25</v>
      </c>
    </row>
    <row r="58" spans="1:22" ht="14.25" customHeight="1">
      <c r="A58" s="10" t="s">
        <v>186</v>
      </c>
      <c r="B58" s="11">
        <v>1967</v>
      </c>
      <c r="C58" s="11" t="s">
        <v>142</v>
      </c>
      <c r="D58" s="11">
        <v>2454</v>
      </c>
      <c r="E58" s="12" t="s">
        <v>25</v>
      </c>
      <c r="F58" s="11">
        <v>1501</v>
      </c>
      <c r="G58" s="11">
        <v>2371</v>
      </c>
      <c r="H58" s="12" t="s">
        <v>25</v>
      </c>
      <c r="I58" s="11">
        <v>137</v>
      </c>
      <c r="J58" s="11">
        <v>6964</v>
      </c>
      <c r="K58" s="11">
        <v>1285</v>
      </c>
      <c r="L58" s="11" t="s">
        <v>187</v>
      </c>
      <c r="M58" s="11">
        <v>120</v>
      </c>
      <c r="N58" s="11">
        <v>41</v>
      </c>
      <c r="O58" s="12" t="s">
        <v>25</v>
      </c>
      <c r="P58" s="11">
        <v>139</v>
      </c>
      <c r="Q58" s="11" t="s">
        <v>58</v>
      </c>
      <c r="R58" s="11">
        <v>630</v>
      </c>
      <c r="S58" s="11"/>
      <c r="T58" s="12" t="s">
        <v>25</v>
      </c>
      <c r="U58" s="11">
        <v>1097</v>
      </c>
      <c r="V58" s="12" t="s">
        <v>25</v>
      </c>
    </row>
    <row r="59" spans="1:22" ht="14.25" customHeight="1">
      <c r="A59" s="10" t="s">
        <v>188</v>
      </c>
      <c r="B59" s="11">
        <v>1991</v>
      </c>
      <c r="C59" s="11" t="s">
        <v>111</v>
      </c>
      <c r="D59" s="11">
        <v>2440</v>
      </c>
      <c r="E59" s="12" t="s">
        <v>25</v>
      </c>
      <c r="F59" s="11" t="s">
        <v>39</v>
      </c>
      <c r="G59" s="11">
        <v>1925</v>
      </c>
      <c r="H59" s="11" t="s">
        <v>189</v>
      </c>
      <c r="I59" s="12" t="s">
        <v>25</v>
      </c>
      <c r="J59" s="11">
        <v>6627</v>
      </c>
      <c r="K59" s="11">
        <v>401</v>
      </c>
      <c r="L59" s="11">
        <v>4201</v>
      </c>
      <c r="M59" s="11">
        <v>37</v>
      </c>
      <c r="N59" s="11">
        <v>27</v>
      </c>
      <c r="O59" s="12" t="s">
        <v>25</v>
      </c>
      <c r="P59" s="11">
        <v>79</v>
      </c>
      <c r="Q59" s="11" t="s">
        <v>40</v>
      </c>
      <c r="R59" s="12" t="s">
        <v>25</v>
      </c>
      <c r="S59" s="12" t="s">
        <v>25</v>
      </c>
      <c r="T59" s="11">
        <v>3109</v>
      </c>
      <c r="U59" s="11"/>
      <c r="V59" s="12" t="s">
        <v>25</v>
      </c>
    </row>
    <row r="60" spans="1:22" ht="14.25" customHeight="1">
      <c r="A60" s="10" t="s">
        <v>190</v>
      </c>
      <c r="B60" s="11">
        <v>1978</v>
      </c>
      <c r="C60" s="11" t="s">
        <v>139</v>
      </c>
      <c r="D60" s="11">
        <v>2556</v>
      </c>
      <c r="E60" s="12" t="s">
        <v>25</v>
      </c>
      <c r="F60" s="11" t="s">
        <v>152</v>
      </c>
      <c r="G60" s="11">
        <v>1314</v>
      </c>
      <c r="H60" s="12" t="s">
        <v>25</v>
      </c>
      <c r="I60" s="11"/>
      <c r="J60" s="11">
        <v>6348</v>
      </c>
      <c r="K60" s="11">
        <v>2050</v>
      </c>
      <c r="L60" s="11">
        <v>1854</v>
      </c>
      <c r="M60" s="11" t="s">
        <v>87</v>
      </c>
      <c r="N60" s="11" t="s">
        <v>175</v>
      </c>
      <c r="O60" s="12" t="s">
        <v>25</v>
      </c>
      <c r="P60" s="11">
        <v>20</v>
      </c>
      <c r="Q60" s="11" t="s">
        <v>122</v>
      </c>
      <c r="R60" s="12" t="s">
        <v>25</v>
      </c>
      <c r="S60" s="11">
        <v>1101</v>
      </c>
      <c r="T60" s="11">
        <v>2956</v>
      </c>
      <c r="U60" s="11"/>
      <c r="V60" s="11">
        <v>511</v>
      </c>
    </row>
    <row r="61" spans="1:22" ht="14.25" customHeight="1">
      <c r="A61" s="10" t="s">
        <v>191</v>
      </c>
      <c r="B61" s="11">
        <v>1988</v>
      </c>
      <c r="C61" s="11" t="s">
        <v>42</v>
      </c>
      <c r="D61" s="11">
        <v>2265</v>
      </c>
      <c r="E61" s="12" t="s">
        <v>25</v>
      </c>
      <c r="F61" s="11" t="s">
        <v>39</v>
      </c>
      <c r="G61" s="11">
        <v>1676</v>
      </c>
      <c r="H61" s="11">
        <v>397</v>
      </c>
      <c r="I61" s="12" t="s">
        <v>25</v>
      </c>
      <c r="J61" s="11">
        <v>5895</v>
      </c>
      <c r="K61" s="11">
        <v>732</v>
      </c>
      <c r="L61" s="11" t="s">
        <v>192</v>
      </c>
      <c r="M61" s="11">
        <v>12</v>
      </c>
      <c r="N61" s="11">
        <v>19</v>
      </c>
      <c r="O61" s="12" t="s">
        <v>25</v>
      </c>
      <c r="P61" s="11">
        <v>38</v>
      </c>
      <c r="Q61" s="11" t="s">
        <v>64</v>
      </c>
      <c r="R61" s="12" t="s">
        <v>25</v>
      </c>
      <c r="S61" s="11" t="s">
        <v>193</v>
      </c>
      <c r="T61" s="11" t="s">
        <v>194</v>
      </c>
      <c r="U61" s="11">
        <v>1082</v>
      </c>
      <c r="V61" s="12" t="s">
        <v>25</v>
      </c>
    </row>
    <row r="62" spans="1:22" ht="14.25" customHeight="1">
      <c r="A62" s="10" t="s">
        <v>195</v>
      </c>
      <c r="B62" s="11">
        <v>1997</v>
      </c>
      <c r="C62" s="11" t="s">
        <v>111</v>
      </c>
      <c r="D62" s="11">
        <v>2246</v>
      </c>
      <c r="E62" s="12" t="s">
        <v>25</v>
      </c>
      <c r="F62" s="11" t="s">
        <v>160</v>
      </c>
      <c r="G62" s="11">
        <v>1725</v>
      </c>
      <c r="H62" s="11" t="s">
        <v>69</v>
      </c>
      <c r="I62" s="11">
        <v>30</v>
      </c>
      <c r="J62" s="11">
        <v>4323</v>
      </c>
      <c r="K62" s="11">
        <v>944</v>
      </c>
      <c r="L62" s="11">
        <v>2808</v>
      </c>
      <c r="M62" s="11">
        <f>71</f>
        <v>71</v>
      </c>
      <c r="N62" s="11" t="s">
        <v>124</v>
      </c>
      <c r="O62" s="12" t="s">
        <v>25</v>
      </c>
      <c r="P62" s="11">
        <v>37</v>
      </c>
      <c r="Q62" s="11" t="s">
        <v>64</v>
      </c>
      <c r="R62" s="11">
        <v>42</v>
      </c>
      <c r="S62" s="12" t="s">
        <v>25</v>
      </c>
      <c r="T62" s="11">
        <v>1859</v>
      </c>
      <c r="U62" s="11"/>
      <c r="V62" s="12" t="s">
        <v>25</v>
      </c>
    </row>
    <row r="63" spans="1:22" ht="14.25" customHeight="1">
      <c r="A63" s="10" t="s">
        <v>196</v>
      </c>
      <c r="B63" s="11">
        <v>1991</v>
      </c>
      <c r="C63" s="11" t="s">
        <v>111</v>
      </c>
      <c r="D63" s="11">
        <v>2243</v>
      </c>
      <c r="E63" s="12" t="s">
        <v>25</v>
      </c>
      <c r="F63" s="11" t="s">
        <v>160</v>
      </c>
      <c r="G63" s="11">
        <v>2411</v>
      </c>
      <c r="H63" s="11" t="s">
        <v>53</v>
      </c>
      <c r="I63" s="12" t="s">
        <v>25</v>
      </c>
      <c r="J63" s="11">
        <v>4537</v>
      </c>
      <c r="K63" s="11">
        <v>1074</v>
      </c>
      <c r="L63" s="11">
        <v>2808</v>
      </c>
      <c r="M63" s="11">
        <v>51</v>
      </c>
      <c r="N63" s="11">
        <v>79</v>
      </c>
      <c r="O63" s="12" t="s">
        <v>25</v>
      </c>
      <c r="P63" s="11">
        <v>36</v>
      </c>
      <c r="Q63" s="11" t="s">
        <v>40</v>
      </c>
      <c r="R63" s="12" t="s">
        <v>25</v>
      </c>
      <c r="S63" s="12" t="s">
        <v>25</v>
      </c>
      <c r="T63" s="11">
        <v>2807</v>
      </c>
      <c r="U63" s="11"/>
      <c r="V63" s="12" t="s">
        <v>25</v>
      </c>
    </row>
    <row r="64" spans="1:22" ht="14.25" customHeight="1">
      <c r="A64" s="10" t="s">
        <v>197</v>
      </c>
      <c r="B64" s="11">
        <v>1989</v>
      </c>
      <c r="C64" s="11" t="s">
        <v>139</v>
      </c>
      <c r="D64" s="11">
        <v>2182</v>
      </c>
      <c r="E64" s="12" t="s">
        <v>25</v>
      </c>
      <c r="F64" s="11" t="s">
        <v>140</v>
      </c>
      <c r="G64" s="11">
        <v>1995</v>
      </c>
      <c r="H64" s="11" t="s">
        <v>69</v>
      </c>
      <c r="I64" s="12" t="s">
        <v>25</v>
      </c>
      <c r="J64" s="11">
        <v>6436</v>
      </c>
      <c r="K64" s="11">
        <v>1558</v>
      </c>
      <c r="L64" s="11">
        <v>4154</v>
      </c>
      <c r="M64" s="11">
        <v>138</v>
      </c>
      <c r="N64" s="11">
        <v>74</v>
      </c>
      <c r="O64" s="12" t="s">
        <v>25</v>
      </c>
      <c r="P64" s="11">
        <v>77</v>
      </c>
      <c r="Q64" s="11" t="s">
        <v>40</v>
      </c>
      <c r="R64" s="11">
        <v>504</v>
      </c>
      <c r="S64" s="12" t="s">
        <v>25</v>
      </c>
      <c r="T64" s="12" t="s">
        <v>25</v>
      </c>
      <c r="U64" s="11"/>
      <c r="V64" s="12" t="s">
        <v>25</v>
      </c>
    </row>
    <row r="65" spans="1:22" ht="27.75" customHeight="1">
      <c r="A65" s="10" t="s">
        <v>198</v>
      </c>
      <c r="B65" s="11">
        <v>1866</v>
      </c>
      <c r="C65" s="11" t="s">
        <v>145</v>
      </c>
      <c r="D65" s="11">
        <v>2163</v>
      </c>
      <c r="E65" s="12" t="s">
        <v>25</v>
      </c>
      <c r="F65" s="11" t="s">
        <v>199</v>
      </c>
      <c r="G65" s="11">
        <v>499</v>
      </c>
      <c r="H65" s="11">
        <f>223</f>
        <v>223</v>
      </c>
      <c r="I65" s="12" t="s">
        <v>25</v>
      </c>
      <c r="J65" s="11">
        <v>2627</v>
      </c>
      <c r="K65" s="11">
        <v>2166</v>
      </c>
      <c r="L65" s="11"/>
      <c r="M65" s="11">
        <v>6</v>
      </c>
      <c r="N65" s="11">
        <v>6</v>
      </c>
      <c r="O65" s="12" t="s">
        <v>25</v>
      </c>
      <c r="P65" s="11">
        <v>5</v>
      </c>
      <c r="Q65" s="11" t="s">
        <v>64</v>
      </c>
      <c r="R65" s="11">
        <v>125</v>
      </c>
      <c r="S65" s="11">
        <v>770</v>
      </c>
      <c r="T65" s="11" t="s">
        <v>200</v>
      </c>
      <c r="U65" s="12" t="s">
        <v>25</v>
      </c>
      <c r="V65" s="11">
        <v>410</v>
      </c>
    </row>
    <row r="66" spans="1:22" ht="14.25" customHeight="1">
      <c r="A66" s="10" t="s">
        <v>201</v>
      </c>
      <c r="B66" s="11">
        <v>1964</v>
      </c>
      <c r="C66" s="11" t="s">
        <v>142</v>
      </c>
      <c r="D66" s="11">
        <v>2124</v>
      </c>
      <c r="E66" s="12" t="s">
        <v>25</v>
      </c>
      <c r="F66" s="11">
        <v>1501</v>
      </c>
      <c r="G66" s="11">
        <v>2172</v>
      </c>
      <c r="H66" s="12" t="s">
        <v>25</v>
      </c>
      <c r="I66" s="12" t="s">
        <v>25</v>
      </c>
      <c r="J66" s="11">
        <v>7077</v>
      </c>
      <c r="K66" s="11">
        <v>1212</v>
      </c>
      <c r="L66" s="11">
        <v>6201</v>
      </c>
      <c r="M66" s="11">
        <v>73</v>
      </c>
      <c r="N66" s="11" t="s">
        <v>183</v>
      </c>
      <c r="O66" s="12" t="s">
        <v>25</v>
      </c>
      <c r="P66" s="11">
        <v>158</v>
      </c>
      <c r="Q66" s="11" t="s">
        <v>85</v>
      </c>
      <c r="R66" s="11">
        <v>289</v>
      </c>
      <c r="S66" s="11"/>
      <c r="T66" s="11">
        <v>2276</v>
      </c>
      <c r="U66" s="11">
        <v>193</v>
      </c>
      <c r="V66" s="12" t="s">
        <v>25</v>
      </c>
    </row>
    <row r="67" spans="1:22" ht="14.25" customHeight="1">
      <c r="A67" s="10" t="s">
        <v>202</v>
      </c>
      <c r="B67" s="11">
        <v>2014</v>
      </c>
      <c r="C67" s="11" t="s">
        <v>139</v>
      </c>
      <c r="D67" s="11">
        <v>2075</v>
      </c>
      <c r="E67" s="12" t="s">
        <v>25</v>
      </c>
      <c r="F67" s="11" t="s">
        <v>29</v>
      </c>
      <c r="G67" s="11">
        <v>1198</v>
      </c>
      <c r="H67" s="12" t="s">
        <v>25</v>
      </c>
      <c r="I67" s="12" t="s">
        <v>25</v>
      </c>
      <c r="J67" s="11">
        <v>5457</v>
      </c>
      <c r="K67" s="11">
        <v>823</v>
      </c>
      <c r="L67" s="11">
        <v>3721</v>
      </c>
      <c r="M67" s="12" t="s">
        <v>25</v>
      </c>
      <c r="N67" s="11">
        <v>14</v>
      </c>
      <c r="O67" s="12" t="s">
        <v>25</v>
      </c>
      <c r="P67" s="11">
        <v>62</v>
      </c>
      <c r="Q67" s="12" t="s">
        <v>25</v>
      </c>
      <c r="R67" s="11">
        <v>701</v>
      </c>
      <c r="S67" s="11">
        <v>1763</v>
      </c>
      <c r="T67" s="11">
        <v>2711</v>
      </c>
      <c r="U67" s="11"/>
      <c r="V67" s="12" t="s">
        <v>25</v>
      </c>
    </row>
    <row r="68" spans="1:22" ht="14.25" customHeight="1">
      <c r="A68" s="10" t="s">
        <v>203</v>
      </c>
      <c r="B68" s="11">
        <v>2007</v>
      </c>
      <c r="C68" s="11" t="s">
        <v>23</v>
      </c>
      <c r="D68" s="11">
        <v>2049</v>
      </c>
      <c r="E68" s="12" t="s">
        <v>25</v>
      </c>
      <c r="F68" s="11" t="s">
        <v>35</v>
      </c>
      <c r="G68" s="11">
        <v>4369</v>
      </c>
      <c r="H68" s="11" t="s">
        <v>53</v>
      </c>
      <c r="I68" s="12" t="s">
        <v>25</v>
      </c>
      <c r="J68" s="11">
        <v>6358</v>
      </c>
      <c r="K68" s="12" t="s">
        <v>25</v>
      </c>
      <c r="L68" s="11">
        <v>7618</v>
      </c>
      <c r="M68" s="11">
        <v>63</v>
      </c>
      <c r="N68" s="11">
        <v>49</v>
      </c>
      <c r="O68" s="12" t="s">
        <v>25</v>
      </c>
      <c r="P68" s="12" t="s">
        <v>25</v>
      </c>
      <c r="Q68" s="12" t="s">
        <v>25</v>
      </c>
      <c r="R68" s="11">
        <v>555</v>
      </c>
      <c r="S68" s="12" t="s">
        <v>25</v>
      </c>
      <c r="T68" s="12" t="s">
        <v>25</v>
      </c>
      <c r="U68" s="12" t="s">
        <v>25</v>
      </c>
      <c r="V68" s="12" t="s">
        <v>25</v>
      </c>
    </row>
    <row r="69" spans="1:22" ht="14.25" customHeight="1">
      <c r="A69" s="10" t="s">
        <v>204</v>
      </c>
      <c r="B69" s="11">
        <v>1989</v>
      </c>
      <c r="C69" s="11" t="s">
        <v>139</v>
      </c>
      <c r="D69" s="11">
        <v>2004</v>
      </c>
      <c r="E69" s="12" t="s">
        <v>25</v>
      </c>
      <c r="F69" s="11" t="s">
        <v>152</v>
      </c>
      <c r="G69" s="11">
        <v>2711</v>
      </c>
      <c r="H69" s="12" t="s">
        <v>25</v>
      </c>
      <c r="I69" s="12" t="s">
        <v>25</v>
      </c>
      <c r="J69" s="11">
        <v>8216</v>
      </c>
      <c r="K69" s="11">
        <v>1591</v>
      </c>
      <c r="L69" s="11">
        <v>5944</v>
      </c>
      <c r="M69" s="11" t="s">
        <v>77</v>
      </c>
      <c r="N69" s="11" t="s">
        <v>175</v>
      </c>
      <c r="O69" s="12" t="s">
        <v>25</v>
      </c>
      <c r="P69" s="11">
        <v>147</v>
      </c>
      <c r="Q69" s="11" t="s">
        <v>35</v>
      </c>
      <c r="R69" s="12" t="s">
        <v>25</v>
      </c>
      <c r="S69" s="12" t="s">
        <v>25</v>
      </c>
      <c r="T69" s="12" t="s">
        <v>25</v>
      </c>
      <c r="U69" s="12" t="s">
        <v>25</v>
      </c>
      <c r="V69" s="12" t="s">
        <v>25</v>
      </c>
    </row>
    <row r="70" spans="1:22" ht="14.25" customHeight="1">
      <c r="A70" s="10" t="s">
        <v>205</v>
      </c>
      <c r="B70" s="11">
        <v>2006</v>
      </c>
      <c r="C70" s="11" t="s">
        <v>38</v>
      </c>
      <c r="D70" s="11">
        <v>1979</v>
      </c>
      <c r="E70" s="12" t="s">
        <v>25</v>
      </c>
      <c r="F70" s="11" t="s">
        <v>35</v>
      </c>
      <c r="G70" s="11">
        <v>2100</v>
      </c>
      <c r="H70" s="11" t="s">
        <v>115</v>
      </c>
      <c r="I70" s="11">
        <v>21</v>
      </c>
      <c r="J70" s="11">
        <v>3445</v>
      </c>
      <c r="K70" s="11">
        <v>723</v>
      </c>
      <c r="L70" s="11">
        <v>1694</v>
      </c>
      <c r="M70" s="11">
        <v>45</v>
      </c>
      <c r="N70" s="11">
        <v>67</v>
      </c>
      <c r="O70" s="12" t="s">
        <v>25</v>
      </c>
      <c r="P70" s="11">
        <v>16</v>
      </c>
      <c r="Q70" s="11" t="s">
        <v>35</v>
      </c>
      <c r="R70" s="12" t="s">
        <v>25</v>
      </c>
      <c r="S70" s="12" t="s">
        <v>25</v>
      </c>
      <c r="T70" s="11">
        <v>2360</v>
      </c>
      <c r="U70" s="12" t="s">
        <v>25</v>
      </c>
      <c r="V70" s="12" t="s">
        <v>25</v>
      </c>
    </row>
    <row r="71" spans="1:22" ht="14.25" customHeight="1">
      <c r="A71" s="10" t="s">
        <v>206</v>
      </c>
      <c r="B71" s="11">
        <v>2004</v>
      </c>
      <c r="C71" s="11" t="s">
        <v>23</v>
      </c>
      <c r="D71" s="11">
        <v>5378</v>
      </c>
      <c r="E71" s="11" t="s">
        <v>98</v>
      </c>
      <c r="F71" s="11" t="s">
        <v>85</v>
      </c>
      <c r="G71" s="11">
        <v>1101</v>
      </c>
      <c r="H71" s="11" t="s">
        <v>207</v>
      </c>
      <c r="I71" s="11">
        <v>20</v>
      </c>
      <c r="J71" s="11">
        <v>3217</v>
      </c>
      <c r="K71" s="11">
        <v>3014</v>
      </c>
      <c r="L71" s="11" t="s">
        <v>208</v>
      </c>
      <c r="M71" s="11">
        <v>48</v>
      </c>
      <c r="N71" s="11">
        <v>40</v>
      </c>
      <c r="O71" s="12" t="s">
        <v>25</v>
      </c>
      <c r="P71" s="11">
        <v>43</v>
      </c>
      <c r="Q71" s="11" t="s">
        <v>64</v>
      </c>
      <c r="R71" s="11">
        <v>61</v>
      </c>
      <c r="S71" s="11">
        <v>1611</v>
      </c>
      <c r="T71" s="11" t="s">
        <v>209</v>
      </c>
      <c r="U71" s="11">
        <v>902</v>
      </c>
      <c r="V71" s="12" t="s">
        <v>25</v>
      </c>
    </row>
    <row r="72" spans="1:22" ht="14.25" customHeight="1">
      <c r="A72" s="14"/>
      <c r="C72" s="15"/>
      <c r="J72" s="16"/>
      <c r="L72" s="16"/>
      <c r="P72" s="16"/>
      <c r="U72" s="16"/>
    </row>
    <row r="73" spans="1:22" ht="14.25" customHeight="1">
      <c r="A73" s="14"/>
      <c r="C73" s="15"/>
      <c r="J73" s="16"/>
      <c r="L73" s="16"/>
      <c r="P73" s="16"/>
      <c r="U73" s="16"/>
    </row>
    <row r="74" spans="1:22" ht="14.25" customHeight="1">
      <c r="A74" s="14"/>
      <c r="C74" s="15"/>
      <c r="J74" s="16"/>
      <c r="L74" s="16"/>
      <c r="P74" s="16"/>
      <c r="U74" s="16"/>
    </row>
    <row r="75" spans="1:22" ht="14.25" customHeight="1">
      <c r="A75" s="14"/>
      <c r="C75" s="15"/>
      <c r="J75" s="16"/>
      <c r="L75" s="16"/>
      <c r="P75" s="16"/>
      <c r="U75" s="16"/>
    </row>
    <row r="76" spans="1:22" ht="14.25" customHeight="1">
      <c r="A76" s="14"/>
      <c r="C76" s="15"/>
      <c r="J76" s="17"/>
      <c r="L76" s="16"/>
      <c r="P76" s="16"/>
      <c r="U76" s="16"/>
    </row>
    <row r="77" spans="1:22" ht="14.25" customHeight="1">
      <c r="A77" s="14"/>
      <c r="C77" s="15"/>
      <c r="J77" s="16"/>
      <c r="L77" s="16"/>
      <c r="P77" s="16"/>
      <c r="U77" s="16"/>
    </row>
    <row r="78" spans="1:22" ht="14.25" customHeight="1">
      <c r="A78" s="14"/>
      <c r="C78" s="15"/>
      <c r="D78" s="18"/>
      <c r="J78" s="16"/>
      <c r="L78" s="16"/>
      <c r="P78" s="16"/>
      <c r="U78" s="16"/>
    </row>
    <row r="79" spans="1:22" ht="14.25" customHeight="1">
      <c r="A79" s="14"/>
      <c r="C79" s="15"/>
      <c r="J79" s="16"/>
      <c r="L79" s="16"/>
      <c r="P79" s="16"/>
      <c r="U79" s="16"/>
    </row>
    <row r="80" spans="1:22" ht="14.25" customHeight="1">
      <c r="A80" s="14"/>
      <c r="C80" s="15"/>
      <c r="J80" s="16"/>
      <c r="L80" s="16"/>
      <c r="P80" s="16"/>
      <c r="U80" s="16"/>
    </row>
    <row r="81" spans="1:21" ht="14.25" customHeight="1">
      <c r="A81" s="14"/>
      <c r="C81" s="15"/>
      <c r="J81" s="16"/>
      <c r="L81" s="16"/>
      <c r="P81" s="16"/>
      <c r="U81" s="16"/>
    </row>
    <row r="82" spans="1:21" ht="14.25" customHeight="1">
      <c r="A82" s="14"/>
      <c r="C82" s="15"/>
      <c r="J82" s="16"/>
      <c r="L82" s="16"/>
      <c r="P82" s="16"/>
      <c r="U82" s="16"/>
    </row>
    <row r="83" spans="1:21" ht="14.25" customHeight="1">
      <c r="A83" s="14"/>
      <c r="C83" s="15"/>
      <c r="J83" s="16"/>
      <c r="L83" s="16"/>
      <c r="P83" s="16"/>
      <c r="U83" s="16"/>
    </row>
    <row r="84" spans="1:21" ht="14.25" customHeight="1">
      <c r="A84" s="14"/>
      <c r="C84" s="15"/>
      <c r="J84" s="16"/>
      <c r="L84" s="16"/>
      <c r="P84" s="16"/>
      <c r="U84" s="16"/>
    </row>
    <row r="85" spans="1:21" ht="14.25" customHeight="1">
      <c r="A85" s="14"/>
      <c r="C85" s="15"/>
      <c r="J85" s="16"/>
      <c r="L85" s="16"/>
      <c r="P85" s="16"/>
      <c r="U85" s="16"/>
    </row>
    <row r="86" spans="1:21" ht="14.25" customHeight="1">
      <c r="A86" s="14"/>
      <c r="C86" s="15"/>
      <c r="J86" s="16"/>
      <c r="L86" s="16"/>
      <c r="P86" s="16"/>
      <c r="U86" s="16"/>
    </row>
    <row r="87" spans="1:21" ht="14.25" customHeight="1">
      <c r="A87" s="14"/>
      <c r="C87" s="15"/>
      <c r="J87" s="16"/>
      <c r="L87" s="16"/>
      <c r="P87" s="16"/>
      <c r="U87" s="16"/>
    </row>
    <row r="88" spans="1:21" ht="14.25" customHeight="1">
      <c r="A88" s="14"/>
      <c r="C88" s="15"/>
      <c r="J88" s="16"/>
      <c r="L88" s="16"/>
      <c r="P88" s="16"/>
      <c r="U88" s="16"/>
    </row>
    <row r="89" spans="1:21" ht="14.25" customHeight="1">
      <c r="A89" s="14"/>
      <c r="C89" s="15"/>
      <c r="J89" s="16"/>
      <c r="L89" s="16"/>
      <c r="P89" s="16"/>
      <c r="U89" s="16"/>
    </row>
    <row r="90" spans="1:21" ht="14.25" customHeight="1">
      <c r="A90" s="14"/>
      <c r="C90" s="15"/>
      <c r="J90" s="16"/>
      <c r="L90" s="16"/>
      <c r="P90" s="16"/>
      <c r="U90" s="16"/>
    </row>
    <row r="91" spans="1:21" ht="14.25" customHeight="1">
      <c r="A91" s="14"/>
      <c r="C91" s="15"/>
      <c r="J91" s="16"/>
      <c r="L91" s="16"/>
      <c r="P91" s="16"/>
      <c r="U91" s="16"/>
    </row>
    <row r="92" spans="1:21" ht="14.25" customHeight="1">
      <c r="A92" s="14"/>
      <c r="C92" s="15"/>
      <c r="J92" s="16"/>
      <c r="L92" s="16"/>
      <c r="P92" s="16"/>
      <c r="U92" s="16"/>
    </row>
    <row r="93" spans="1:21" ht="14.25" customHeight="1">
      <c r="A93" s="14"/>
      <c r="C93" s="15"/>
      <c r="J93" s="16"/>
      <c r="L93" s="16"/>
      <c r="P93" s="16"/>
      <c r="U93" s="16"/>
    </row>
    <row r="94" spans="1:21" ht="14.25" customHeight="1">
      <c r="A94" s="14"/>
      <c r="C94" s="15"/>
      <c r="J94" s="16"/>
      <c r="L94" s="16"/>
      <c r="P94" s="16"/>
      <c r="U94" s="16"/>
    </row>
    <row r="95" spans="1:21" ht="14.25" customHeight="1">
      <c r="A95" s="14"/>
      <c r="C95" s="15"/>
      <c r="J95" s="16"/>
      <c r="L95" s="16"/>
      <c r="P95" s="16"/>
      <c r="U95" s="16"/>
    </row>
    <row r="96" spans="1:21" ht="14.25" customHeight="1">
      <c r="A96" s="14"/>
      <c r="C96" s="15"/>
      <c r="J96" s="16"/>
      <c r="L96" s="16"/>
      <c r="P96" s="16"/>
      <c r="U96" s="16"/>
    </row>
    <row r="97" spans="1:21" ht="14.25" customHeight="1">
      <c r="A97" s="14"/>
      <c r="C97" s="15"/>
      <c r="J97" s="16"/>
      <c r="L97" s="16"/>
      <c r="P97" s="16"/>
      <c r="U97" s="16"/>
    </row>
    <row r="98" spans="1:21" ht="14.25" customHeight="1">
      <c r="A98" s="14"/>
      <c r="C98" s="15"/>
      <c r="J98" s="16"/>
      <c r="L98" s="16"/>
      <c r="P98" s="16"/>
      <c r="U98" s="16"/>
    </row>
    <row r="99" spans="1:21" ht="14.25" customHeight="1">
      <c r="A99" s="14"/>
      <c r="C99" s="15"/>
      <c r="J99" s="16"/>
      <c r="L99" s="16"/>
      <c r="P99" s="16"/>
      <c r="U99" s="16"/>
    </row>
    <row r="100" spans="1:21" ht="14.25" customHeight="1">
      <c r="A100" s="14"/>
      <c r="C100" s="15"/>
      <c r="J100" s="16"/>
      <c r="L100" s="16"/>
      <c r="P100" s="16"/>
      <c r="U100" s="16"/>
    </row>
    <row r="101" spans="1:21" ht="14.25" customHeight="1">
      <c r="A101" s="14"/>
      <c r="C101" s="15"/>
      <c r="J101" s="16"/>
      <c r="L101" s="16"/>
      <c r="P101" s="16"/>
      <c r="U101" s="16"/>
    </row>
    <row r="102" spans="1:21" ht="14.25" customHeight="1">
      <c r="A102" s="14"/>
      <c r="C102" s="15"/>
      <c r="J102" s="16"/>
      <c r="L102" s="16"/>
      <c r="P102" s="16"/>
      <c r="U102" s="16"/>
    </row>
    <row r="103" spans="1:21" ht="14.25" customHeight="1">
      <c r="A103" s="14"/>
      <c r="C103" s="15"/>
      <c r="J103" s="16"/>
      <c r="L103" s="16"/>
      <c r="P103" s="16"/>
      <c r="U103" s="16"/>
    </row>
    <row r="104" spans="1:21" ht="14.25" customHeight="1">
      <c r="A104" s="14"/>
      <c r="C104" s="15"/>
      <c r="J104" s="16"/>
      <c r="L104" s="16"/>
      <c r="P104" s="16"/>
      <c r="U104" s="16"/>
    </row>
    <row r="105" spans="1:21" ht="14.25" customHeight="1">
      <c r="A105" s="14"/>
      <c r="C105" s="15"/>
      <c r="J105" s="16"/>
      <c r="L105" s="16"/>
      <c r="P105" s="16"/>
      <c r="U105" s="16"/>
    </row>
    <row r="106" spans="1:21" ht="14.25" customHeight="1">
      <c r="A106" s="14"/>
      <c r="C106" s="15"/>
      <c r="J106" s="16"/>
      <c r="L106" s="16"/>
      <c r="P106" s="16"/>
      <c r="U106" s="16"/>
    </row>
    <row r="107" spans="1:21" ht="14.25" customHeight="1">
      <c r="A107" s="14"/>
      <c r="C107" s="15"/>
      <c r="J107" s="16"/>
      <c r="L107" s="16"/>
      <c r="P107" s="16"/>
      <c r="U107" s="16"/>
    </row>
    <row r="108" spans="1:21" ht="14.25" customHeight="1">
      <c r="A108" s="14"/>
      <c r="C108" s="15"/>
      <c r="J108" s="16"/>
      <c r="L108" s="16"/>
      <c r="P108" s="16"/>
      <c r="U108" s="16"/>
    </row>
    <row r="109" spans="1:21" ht="14.25" customHeight="1">
      <c r="A109" s="14"/>
      <c r="C109" s="15"/>
      <c r="J109" s="16"/>
      <c r="L109" s="16"/>
      <c r="P109" s="16"/>
      <c r="U109" s="16"/>
    </row>
    <row r="110" spans="1:21" ht="14.25" customHeight="1">
      <c r="A110" s="14"/>
      <c r="C110" s="15"/>
      <c r="J110" s="16"/>
      <c r="L110" s="16"/>
      <c r="P110" s="16"/>
      <c r="U110" s="16"/>
    </row>
    <row r="111" spans="1:21" ht="14.25" customHeight="1">
      <c r="A111" s="14"/>
      <c r="C111" s="15"/>
      <c r="J111" s="16"/>
      <c r="L111" s="16"/>
      <c r="P111" s="16"/>
      <c r="U111" s="16"/>
    </row>
    <row r="112" spans="1:21" ht="14.25" customHeight="1">
      <c r="A112" s="14"/>
      <c r="C112" s="15"/>
      <c r="J112" s="16"/>
      <c r="L112" s="16"/>
      <c r="P112" s="16"/>
      <c r="U112" s="16"/>
    </row>
    <row r="113" spans="1:21" ht="14.25" customHeight="1">
      <c r="A113" s="14"/>
      <c r="C113" s="15"/>
      <c r="J113" s="16"/>
      <c r="L113" s="16"/>
      <c r="P113" s="16"/>
      <c r="U113" s="16"/>
    </row>
    <row r="114" spans="1:21" ht="14.25" customHeight="1">
      <c r="A114" s="14"/>
      <c r="C114" s="15"/>
      <c r="J114" s="16"/>
      <c r="L114" s="16"/>
      <c r="P114" s="16"/>
      <c r="U114" s="16"/>
    </row>
    <row r="115" spans="1:21" ht="14.25" customHeight="1">
      <c r="A115" s="14"/>
      <c r="C115" s="15"/>
      <c r="J115" s="16"/>
      <c r="L115" s="16"/>
      <c r="P115" s="16"/>
      <c r="U115" s="16"/>
    </row>
    <row r="116" spans="1:21" ht="14.25" customHeight="1">
      <c r="A116" s="14"/>
      <c r="C116" s="15"/>
      <c r="J116" s="16"/>
      <c r="L116" s="16"/>
      <c r="P116" s="16"/>
      <c r="U116" s="16"/>
    </row>
    <row r="117" spans="1:21" ht="14.25" customHeight="1">
      <c r="A117" s="14"/>
      <c r="C117" s="15"/>
      <c r="J117" s="16"/>
      <c r="L117" s="16"/>
      <c r="P117" s="16"/>
      <c r="U117" s="16"/>
    </row>
    <row r="118" spans="1:21" ht="14.25" customHeight="1">
      <c r="A118" s="14"/>
      <c r="C118" s="15"/>
      <c r="J118" s="16"/>
      <c r="L118" s="16"/>
      <c r="P118" s="16"/>
      <c r="U118" s="16"/>
    </row>
    <row r="119" spans="1:21" ht="14.25" customHeight="1">
      <c r="A119" s="14"/>
      <c r="C119" s="15"/>
      <c r="J119" s="16"/>
      <c r="L119" s="16"/>
      <c r="P119" s="16"/>
      <c r="U119" s="16"/>
    </row>
    <row r="120" spans="1:21" ht="14.25" customHeight="1">
      <c r="A120" s="14"/>
      <c r="C120" s="15"/>
      <c r="J120" s="16"/>
      <c r="L120" s="16"/>
      <c r="P120" s="16"/>
      <c r="U120" s="16"/>
    </row>
    <row r="121" spans="1:21" ht="14.25" customHeight="1">
      <c r="A121" s="14"/>
      <c r="C121" s="15"/>
      <c r="J121" s="16"/>
      <c r="L121" s="16"/>
      <c r="P121" s="16"/>
      <c r="U121" s="16"/>
    </row>
    <row r="122" spans="1:21" ht="14.25" customHeight="1">
      <c r="A122" s="14"/>
      <c r="C122" s="15"/>
      <c r="J122" s="16"/>
      <c r="L122" s="16"/>
      <c r="P122" s="16"/>
      <c r="U122" s="16"/>
    </row>
    <row r="123" spans="1:21" ht="14.25" customHeight="1">
      <c r="A123" s="14"/>
      <c r="C123" s="15"/>
      <c r="J123" s="16"/>
      <c r="L123" s="16"/>
      <c r="P123" s="16"/>
      <c r="U123" s="16"/>
    </row>
    <row r="124" spans="1:21" ht="14.25" customHeight="1">
      <c r="A124" s="14"/>
      <c r="C124" s="15"/>
      <c r="J124" s="16"/>
      <c r="L124" s="16"/>
      <c r="P124" s="16"/>
      <c r="U124" s="16"/>
    </row>
    <row r="125" spans="1:21" ht="14.25" customHeight="1">
      <c r="A125" s="14"/>
      <c r="C125" s="15"/>
      <c r="J125" s="16"/>
      <c r="L125" s="16"/>
      <c r="P125" s="16"/>
      <c r="U125" s="16"/>
    </row>
    <row r="126" spans="1:21" ht="14.25" customHeight="1">
      <c r="A126" s="14"/>
      <c r="C126" s="15"/>
      <c r="J126" s="16"/>
      <c r="L126" s="16"/>
      <c r="P126" s="16"/>
      <c r="U126" s="16"/>
    </row>
    <row r="127" spans="1:21" ht="14.25" customHeight="1">
      <c r="A127" s="14"/>
      <c r="C127" s="15"/>
      <c r="J127" s="16"/>
      <c r="L127" s="16"/>
      <c r="P127" s="16"/>
      <c r="U127" s="16"/>
    </row>
    <row r="128" spans="1:21" ht="14.25" customHeight="1">
      <c r="A128" s="14"/>
      <c r="C128" s="15"/>
      <c r="J128" s="16"/>
      <c r="L128" s="16"/>
      <c r="P128" s="16"/>
      <c r="U128" s="16"/>
    </row>
    <row r="129" spans="1:21" ht="14.25" customHeight="1">
      <c r="A129" s="14"/>
      <c r="C129" s="15"/>
      <c r="J129" s="16"/>
      <c r="L129" s="16"/>
      <c r="P129" s="16"/>
      <c r="U129" s="16"/>
    </row>
    <row r="130" spans="1:21" ht="14.25" customHeight="1">
      <c r="A130" s="14"/>
      <c r="C130" s="15"/>
      <c r="J130" s="16"/>
      <c r="L130" s="16"/>
      <c r="P130" s="16"/>
      <c r="U130" s="16"/>
    </row>
    <row r="131" spans="1:21" ht="14.25" customHeight="1">
      <c r="A131" s="14"/>
      <c r="C131" s="15"/>
      <c r="J131" s="16"/>
      <c r="L131" s="16"/>
      <c r="P131" s="16"/>
      <c r="U131" s="16"/>
    </row>
    <row r="132" spans="1:21" ht="14.25" customHeight="1">
      <c r="A132" s="14"/>
      <c r="C132" s="15"/>
      <c r="J132" s="16"/>
      <c r="L132" s="16"/>
      <c r="P132" s="16"/>
      <c r="U132" s="16"/>
    </row>
    <row r="133" spans="1:21" ht="14.25" customHeight="1">
      <c r="A133" s="14"/>
      <c r="C133" s="15"/>
      <c r="J133" s="16"/>
      <c r="L133" s="16"/>
      <c r="P133" s="16"/>
      <c r="U133" s="16"/>
    </row>
    <row r="134" spans="1:21" ht="14.25" customHeight="1">
      <c r="A134" s="14"/>
      <c r="C134" s="15"/>
      <c r="J134" s="16"/>
      <c r="L134" s="16"/>
      <c r="P134" s="16"/>
      <c r="U134" s="16"/>
    </row>
    <row r="135" spans="1:21" ht="14.25" customHeight="1">
      <c r="A135" s="14"/>
      <c r="C135" s="15"/>
      <c r="J135" s="16"/>
      <c r="L135" s="16"/>
      <c r="P135" s="16"/>
      <c r="U135" s="16"/>
    </row>
    <row r="136" spans="1:21" ht="14.25" customHeight="1">
      <c r="A136" s="14"/>
      <c r="C136" s="15"/>
      <c r="J136" s="16"/>
      <c r="L136" s="16"/>
      <c r="P136" s="16"/>
      <c r="U136" s="16"/>
    </row>
    <row r="137" spans="1:21" ht="14.25" customHeight="1">
      <c r="A137" s="14"/>
      <c r="C137" s="15"/>
      <c r="J137" s="16"/>
      <c r="L137" s="16"/>
      <c r="P137" s="16"/>
      <c r="U137" s="16"/>
    </row>
    <row r="138" spans="1:21" ht="14.25" customHeight="1">
      <c r="A138" s="14"/>
      <c r="C138" s="15"/>
      <c r="J138" s="16"/>
      <c r="L138" s="16"/>
      <c r="P138" s="16"/>
      <c r="U138" s="16"/>
    </row>
    <row r="139" spans="1:21" ht="14.25" customHeight="1">
      <c r="A139" s="14"/>
      <c r="C139" s="15"/>
      <c r="J139" s="16"/>
      <c r="L139" s="16"/>
      <c r="P139" s="16"/>
      <c r="U139" s="16"/>
    </row>
    <row r="140" spans="1:21" ht="14.25" customHeight="1">
      <c r="A140" s="14"/>
      <c r="C140" s="15"/>
      <c r="J140" s="16"/>
      <c r="L140" s="16"/>
      <c r="P140" s="16"/>
      <c r="U140" s="16"/>
    </row>
    <row r="141" spans="1:21" ht="14.25" customHeight="1">
      <c r="A141" s="14"/>
      <c r="C141" s="15"/>
      <c r="J141" s="16"/>
      <c r="L141" s="16"/>
      <c r="P141" s="16"/>
      <c r="U141" s="16"/>
    </row>
    <row r="142" spans="1:21" ht="14.25" customHeight="1">
      <c r="A142" s="14"/>
      <c r="C142" s="15"/>
      <c r="J142" s="16"/>
      <c r="L142" s="16"/>
      <c r="P142" s="16"/>
      <c r="U142" s="16"/>
    </row>
    <row r="143" spans="1:21" ht="14.25" customHeight="1">
      <c r="A143" s="14"/>
      <c r="C143" s="15"/>
      <c r="J143" s="16"/>
      <c r="L143" s="16"/>
      <c r="P143" s="16"/>
      <c r="U143" s="16"/>
    </row>
    <row r="144" spans="1:21" ht="14.25" customHeight="1">
      <c r="A144" s="14"/>
      <c r="C144" s="15"/>
      <c r="J144" s="16"/>
      <c r="L144" s="16"/>
      <c r="P144" s="16"/>
      <c r="U144" s="16"/>
    </row>
    <row r="145" spans="1:21" ht="14.25" customHeight="1">
      <c r="A145" s="14"/>
      <c r="C145" s="15"/>
      <c r="J145" s="16"/>
      <c r="L145" s="16"/>
      <c r="P145" s="16"/>
      <c r="U145" s="16"/>
    </row>
    <row r="146" spans="1:21" ht="14.25" customHeight="1">
      <c r="A146" s="14"/>
      <c r="C146" s="15"/>
      <c r="J146" s="16"/>
      <c r="L146" s="16"/>
      <c r="P146" s="16"/>
      <c r="U146" s="16"/>
    </row>
    <row r="147" spans="1:21" ht="14.25" customHeight="1">
      <c r="A147" s="14"/>
      <c r="C147" s="15"/>
      <c r="J147" s="16"/>
      <c r="L147" s="16"/>
      <c r="P147" s="16"/>
      <c r="U147" s="16"/>
    </row>
    <row r="148" spans="1:21" ht="14.25" customHeight="1">
      <c r="A148" s="14"/>
      <c r="C148" s="15"/>
      <c r="J148" s="16"/>
      <c r="L148" s="16"/>
      <c r="P148" s="16"/>
      <c r="U148" s="16"/>
    </row>
    <row r="149" spans="1:21" ht="14.25" customHeight="1">
      <c r="A149" s="14"/>
      <c r="C149" s="15"/>
      <c r="J149" s="16"/>
      <c r="L149" s="16"/>
      <c r="P149" s="16"/>
      <c r="U149" s="16"/>
    </row>
    <row r="150" spans="1:21" ht="14.25" customHeight="1">
      <c r="A150" s="14"/>
      <c r="C150" s="15"/>
      <c r="J150" s="16"/>
      <c r="L150" s="16"/>
      <c r="P150" s="16"/>
      <c r="U150" s="16"/>
    </row>
    <row r="151" spans="1:21" ht="14.25" customHeight="1">
      <c r="A151" s="14"/>
      <c r="C151" s="15"/>
      <c r="J151" s="16"/>
      <c r="L151" s="16"/>
      <c r="P151" s="16"/>
      <c r="U151" s="16"/>
    </row>
    <row r="152" spans="1:21" ht="14.25" customHeight="1">
      <c r="A152" s="14"/>
      <c r="C152" s="15"/>
      <c r="J152" s="16"/>
      <c r="L152" s="16"/>
      <c r="P152" s="16"/>
      <c r="U152" s="16"/>
    </row>
    <row r="153" spans="1:21" ht="14.25" customHeight="1">
      <c r="A153" s="14"/>
      <c r="C153" s="15"/>
      <c r="J153" s="16"/>
      <c r="L153" s="16"/>
      <c r="P153" s="16"/>
      <c r="U153" s="16"/>
    </row>
    <row r="154" spans="1:21" ht="14.25" customHeight="1">
      <c r="A154" s="14"/>
      <c r="C154" s="15"/>
      <c r="J154" s="16"/>
      <c r="L154" s="16"/>
      <c r="P154" s="16"/>
      <c r="U154" s="16"/>
    </row>
    <row r="155" spans="1:21" ht="14.25" customHeight="1">
      <c r="A155" s="14"/>
      <c r="C155" s="15"/>
      <c r="J155" s="16"/>
      <c r="L155" s="16"/>
      <c r="P155" s="16"/>
      <c r="U155" s="16"/>
    </row>
    <row r="156" spans="1:21" ht="14.25" customHeight="1">
      <c r="A156" s="14"/>
      <c r="C156" s="15"/>
      <c r="J156" s="16"/>
      <c r="L156" s="16"/>
      <c r="P156" s="16"/>
      <c r="U156" s="16"/>
    </row>
    <row r="157" spans="1:21" ht="14.25" customHeight="1">
      <c r="A157" s="14"/>
      <c r="C157" s="15"/>
      <c r="J157" s="16"/>
      <c r="L157" s="16"/>
      <c r="P157" s="16"/>
      <c r="U157" s="16"/>
    </row>
    <row r="158" spans="1:21" ht="14.25" customHeight="1">
      <c r="A158" s="14"/>
      <c r="C158" s="15"/>
      <c r="J158" s="16"/>
      <c r="L158" s="16"/>
      <c r="P158" s="16"/>
      <c r="U158" s="16"/>
    </row>
    <row r="159" spans="1:21" ht="14.25" customHeight="1">
      <c r="A159" s="14"/>
      <c r="C159" s="15"/>
      <c r="J159" s="16"/>
      <c r="L159" s="16"/>
      <c r="P159" s="16"/>
      <c r="U159" s="16"/>
    </row>
    <row r="160" spans="1:21" ht="14.25" customHeight="1">
      <c r="A160" s="14"/>
      <c r="C160" s="15"/>
      <c r="J160" s="16"/>
      <c r="L160" s="16"/>
      <c r="P160" s="16"/>
      <c r="U160" s="16"/>
    </row>
    <row r="161" spans="1:21" ht="14.25" customHeight="1">
      <c r="A161" s="14"/>
      <c r="C161" s="15"/>
      <c r="J161" s="16"/>
      <c r="L161" s="16"/>
      <c r="P161" s="16"/>
      <c r="U161" s="16"/>
    </row>
    <row r="162" spans="1:21" ht="14.25" customHeight="1">
      <c r="A162" s="14"/>
      <c r="C162" s="15"/>
      <c r="J162" s="16"/>
      <c r="L162" s="16"/>
      <c r="P162" s="16"/>
      <c r="U162" s="16"/>
    </row>
    <row r="163" spans="1:21" ht="14.25" customHeight="1">
      <c r="A163" s="14"/>
      <c r="C163" s="15"/>
      <c r="J163" s="16"/>
      <c r="L163" s="16"/>
      <c r="P163" s="16"/>
      <c r="U163" s="16"/>
    </row>
    <row r="164" spans="1:21" ht="14.25" customHeight="1">
      <c r="A164" s="14"/>
      <c r="C164" s="15"/>
      <c r="J164" s="16"/>
      <c r="L164" s="16"/>
      <c r="P164" s="16"/>
      <c r="U164" s="16"/>
    </row>
    <row r="165" spans="1:21" ht="14.25" customHeight="1">
      <c r="A165" s="14"/>
      <c r="C165" s="15"/>
      <c r="J165" s="16"/>
      <c r="L165" s="16"/>
      <c r="P165" s="16"/>
      <c r="U165" s="16"/>
    </row>
    <row r="166" spans="1:21" ht="14.25" customHeight="1">
      <c r="A166" s="14"/>
      <c r="C166" s="15"/>
      <c r="J166" s="16"/>
      <c r="L166" s="16"/>
      <c r="P166" s="16"/>
      <c r="U166" s="16"/>
    </row>
    <row r="167" spans="1:21" ht="14.25" customHeight="1">
      <c r="A167" s="14"/>
      <c r="C167" s="15"/>
      <c r="J167" s="16"/>
      <c r="L167" s="16"/>
      <c r="P167" s="16"/>
      <c r="U167" s="16"/>
    </row>
    <row r="168" spans="1:21" ht="14.25" customHeight="1">
      <c r="A168" s="14"/>
      <c r="C168" s="15"/>
      <c r="J168" s="16"/>
      <c r="L168" s="16"/>
      <c r="P168" s="16"/>
      <c r="U168" s="16"/>
    </row>
    <row r="169" spans="1:21" ht="14.25" customHeight="1">
      <c r="A169" s="14"/>
      <c r="C169" s="15"/>
      <c r="J169" s="16"/>
      <c r="L169" s="16"/>
      <c r="P169" s="16"/>
      <c r="U169" s="16"/>
    </row>
    <row r="170" spans="1:21" ht="14.25" customHeight="1">
      <c r="A170" s="14"/>
      <c r="C170" s="15"/>
      <c r="J170" s="16"/>
      <c r="L170" s="16"/>
      <c r="P170" s="16"/>
      <c r="U170" s="16"/>
    </row>
    <row r="171" spans="1:21" ht="14.25" customHeight="1">
      <c r="A171" s="14"/>
      <c r="C171" s="15"/>
      <c r="J171" s="16"/>
      <c r="L171" s="16"/>
      <c r="P171" s="16"/>
      <c r="U171" s="16"/>
    </row>
    <row r="172" spans="1:21" ht="14.25" customHeight="1">
      <c r="A172" s="14"/>
      <c r="C172" s="15"/>
      <c r="J172" s="16"/>
      <c r="L172" s="16"/>
      <c r="P172" s="16"/>
      <c r="U172" s="16"/>
    </row>
    <row r="173" spans="1:21" ht="14.25" customHeight="1">
      <c r="A173" s="14"/>
      <c r="C173" s="15"/>
      <c r="J173" s="16"/>
      <c r="L173" s="16"/>
      <c r="P173" s="16"/>
      <c r="U173" s="16"/>
    </row>
    <row r="174" spans="1:21" ht="14.25" customHeight="1">
      <c r="A174" s="14"/>
      <c r="C174" s="15"/>
      <c r="J174" s="16"/>
      <c r="L174" s="16"/>
      <c r="P174" s="16"/>
      <c r="U174" s="16"/>
    </row>
    <row r="175" spans="1:21" ht="14.25" customHeight="1">
      <c r="A175" s="14"/>
      <c r="C175" s="15"/>
      <c r="J175" s="16"/>
      <c r="L175" s="16"/>
      <c r="P175" s="16"/>
      <c r="U175" s="16"/>
    </row>
    <row r="176" spans="1:21" ht="14.25" customHeight="1">
      <c r="A176" s="14"/>
      <c r="C176" s="15"/>
      <c r="J176" s="16"/>
      <c r="L176" s="16"/>
      <c r="P176" s="16"/>
      <c r="U176" s="16"/>
    </row>
    <row r="177" spans="1:21" ht="14.25" customHeight="1">
      <c r="A177" s="14"/>
      <c r="C177" s="15"/>
      <c r="J177" s="16"/>
      <c r="L177" s="16"/>
      <c r="P177" s="16"/>
      <c r="U177" s="16"/>
    </row>
    <row r="178" spans="1:21" ht="14.25" customHeight="1">
      <c r="A178" s="14"/>
      <c r="C178" s="15"/>
      <c r="J178" s="16"/>
      <c r="L178" s="16"/>
      <c r="P178" s="16"/>
      <c r="U178" s="16"/>
    </row>
    <row r="179" spans="1:21" ht="14.25" customHeight="1">
      <c r="A179" s="14"/>
      <c r="C179" s="15"/>
      <c r="J179" s="16"/>
      <c r="L179" s="16"/>
      <c r="P179" s="16"/>
      <c r="U179" s="16"/>
    </row>
    <row r="180" spans="1:21" ht="14.25" customHeight="1">
      <c r="A180" s="14"/>
      <c r="C180" s="15"/>
      <c r="J180" s="16"/>
      <c r="L180" s="16"/>
      <c r="P180" s="16"/>
      <c r="U180" s="16"/>
    </row>
    <row r="181" spans="1:21" ht="14.25" customHeight="1">
      <c r="A181" s="14"/>
      <c r="C181" s="15"/>
      <c r="J181" s="16"/>
      <c r="L181" s="16"/>
      <c r="P181" s="16"/>
      <c r="U181" s="16"/>
    </row>
    <row r="182" spans="1:21" ht="14.25" customHeight="1">
      <c r="A182" s="14"/>
      <c r="C182" s="15"/>
      <c r="J182" s="16"/>
      <c r="L182" s="16"/>
      <c r="P182" s="16"/>
      <c r="U182" s="16"/>
    </row>
    <row r="183" spans="1:21" ht="14.25" customHeight="1">
      <c r="A183" s="14"/>
      <c r="C183" s="15"/>
      <c r="J183" s="16"/>
      <c r="L183" s="16"/>
      <c r="P183" s="16"/>
      <c r="U183" s="16"/>
    </row>
    <row r="184" spans="1:21" ht="14.25" customHeight="1">
      <c r="A184" s="14"/>
      <c r="C184" s="15"/>
      <c r="J184" s="16"/>
      <c r="L184" s="16"/>
      <c r="P184" s="16"/>
      <c r="U184" s="16"/>
    </row>
    <row r="185" spans="1:21" ht="14.25" customHeight="1">
      <c r="A185" s="14"/>
      <c r="C185" s="15"/>
      <c r="J185" s="16"/>
      <c r="L185" s="16"/>
      <c r="P185" s="16"/>
      <c r="U185" s="16"/>
    </row>
    <row r="186" spans="1:21" ht="14.25" customHeight="1">
      <c r="A186" s="14"/>
      <c r="C186" s="15"/>
      <c r="J186" s="16"/>
      <c r="L186" s="16"/>
      <c r="P186" s="16"/>
      <c r="U186" s="16"/>
    </row>
    <row r="187" spans="1:21" ht="14.25" customHeight="1">
      <c r="A187" s="14"/>
      <c r="C187" s="15"/>
      <c r="J187" s="16"/>
      <c r="L187" s="16"/>
      <c r="P187" s="16"/>
      <c r="U187" s="16"/>
    </row>
    <row r="188" spans="1:21" ht="14.25" customHeight="1">
      <c r="A188" s="14"/>
      <c r="C188" s="15"/>
      <c r="J188" s="16"/>
      <c r="L188" s="16"/>
      <c r="P188" s="16"/>
      <c r="U188" s="16"/>
    </row>
    <row r="189" spans="1:21" ht="14.25" customHeight="1">
      <c r="A189" s="14"/>
      <c r="C189" s="15"/>
      <c r="J189" s="16"/>
      <c r="L189" s="16"/>
      <c r="P189" s="16"/>
      <c r="U189" s="16"/>
    </row>
    <row r="190" spans="1:21" ht="14.25" customHeight="1">
      <c r="A190" s="14"/>
      <c r="C190" s="15"/>
      <c r="J190" s="16"/>
      <c r="L190" s="16"/>
      <c r="P190" s="16"/>
      <c r="U190" s="16"/>
    </row>
    <row r="191" spans="1:21" ht="14.25" customHeight="1">
      <c r="A191" s="14"/>
      <c r="C191" s="15"/>
      <c r="J191" s="16"/>
      <c r="L191" s="16"/>
      <c r="P191" s="16"/>
      <c r="U191" s="16"/>
    </row>
    <row r="192" spans="1:21" ht="14.25" customHeight="1">
      <c r="A192" s="14"/>
      <c r="C192" s="15"/>
      <c r="J192" s="16"/>
      <c r="L192" s="16"/>
      <c r="P192" s="16"/>
      <c r="U192" s="16"/>
    </row>
    <row r="193" spans="1:21" ht="14.25" customHeight="1">
      <c r="A193" s="14"/>
      <c r="C193" s="15"/>
      <c r="J193" s="16"/>
      <c r="L193" s="16"/>
      <c r="P193" s="16"/>
      <c r="U193" s="16"/>
    </row>
    <row r="194" spans="1:21" ht="14.25" customHeight="1">
      <c r="A194" s="14"/>
      <c r="C194" s="15"/>
      <c r="J194" s="16"/>
      <c r="L194" s="16"/>
      <c r="P194" s="16"/>
      <c r="U194" s="16"/>
    </row>
    <row r="195" spans="1:21" ht="14.25" customHeight="1">
      <c r="A195" s="14"/>
      <c r="C195" s="15"/>
      <c r="J195" s="16"/>
      <c r="L195" s="16"/>
      <c r="P195" s="16"/>
      <c r="U195" s="16"/>
    </row>
    <row r="196" spans="1:21" ht="14.25" customHeight="1">
      <c r="A196" s="14"/>
      <c r="C196" s="15"/>
      <c r="J196" s="16"/>
      <c r="L196" s="16"/>
      <c r="P196" s="16"/>
      <c r="U196" s="16"/>
    </row>
    <row r="197" spans="1:21" ht="14.25" customHeight="1">
      <c r="A197" s="14"/>
      <c r="C197" s="15"/>
      <c r="J197" s="16"/>
      <c r="L197" s="16"/>
      <c r="P197" s="16"/>
      <c r="U197" s="16"/>
    </row>
    <row r="198" spans="1:21" ht="14.25" customHeight="1">
      <c r="A198" s="14"/>
      <c r="C198" s="15"/>
      <c r="J198" s="16"/>
      <c r="L198" s="16"/>
      <c r="P198" s="16"/>
      <c r="U198" s="16"/>
    </row>
    <row r="199" spans="1:21" ht="14.25" customHeight="1">
      <c r="A199" s="14"/>
      <c r="C199" s="15"/>
      <c r="J199" s="16"/>
      <c r="L199" s="16"/>
      <c r="P199" s="16"/>
      <c r="U199" s="16"/>
    </row>
    <row r="200" spans="1:21" ht="14.25" customHeight="1">
      <c r="A200" s="14"/>
      <c r="C200" s="15"/>
      <c r="J200" s="16"/>
      <c r="L200" s="16"/>
      <c r="P200" s="16"/>
      <c r="U200" s="16"/>
    </row>
    <row r="201" spans="1:21" ht="14.25" customHeight="1">
      <c r="A201" s="14"/>
      <c r="C201" s="15"/>
      <c r="J201" s="16"/>
      <c r="L201" s="16"/>
      <c r="P201" s="16"/>
      <c r="U201" s="16"/>
    </row>
    <row r="202" spans="1:21" ht="14.25" customHeight="1">
      <c r="A202" s="14"/>
      <c r="C202" s="15"/>
      <c r="J202" s="16"/>
      <c r="L202" s="16"/>
      <c r="P202" s="16"/>
      <c r="U202" s="16"/>
    </row>
    <row r="203" spans="1:21" ht="14.25" customHeight="1">
      <c r="A203" s="14"/>
      <c r="C203" s="15"/>
      <c r="J203" s="16"/>
      <c r="L203" s="16"/>
      <c r="P203" s="16"/>
      <c r="U203" s="16"/>
    </row>
    <row r="204" spans="1:21" ht="14.25" customHeight="1">
      <c r="A204" s="14"/>
      <c r="C204" s="15"/>
      <c r="J204" s="16"/>
      <c r="L204" s="16"/>
      <c r="P204" s="16"/>
      <c r="U204" s="16"/>
    </row>
    <row r="205" spans="1:21" ht="14.25" customHeight="1">
      <c r="A205" s="14"/>
      <c r="C205" s="15"/>
      <c r="J205" s="16"/>
      <c r="L205" s="16"/>
      <c r="P205" s="16"/>
      <c r="U205" s="16"/>
    </row>
    <row r="206" spans="1:21" ht="14.25" customHeight="1">
      <c r="A206" s="14"/>
      <c r="C206" s="15"/>
      <c r="J206" s="16"/>
      <c r="L206" s="16"/>
      <c r="P206" s="16"/>
      <c r="U206" s="16"/>
    </row>
    <row r="207" spans="1:21" ht="14.25" customHeight="1">
      <c r="A207" s="14"/>
      <c r="C207" s="15"/>
      <c r="J207" s="16"/>
      <c r="L207" s="16"/>
      <c r="P207" s="16"/>
      <c r="U207" s="16"/>
    </row>
    <row r="208" spans="1:21" ht="14.25" customHeight="1">
      <c r="A208" s="14"/>
      <c r="C208" s="15"/>
      <c r="J208" s="16"/>
      <c r="L208" s="16"/>
      <c r="P208" s="16"/>
      <c r="U208" s="16"/>
    </row>
    <row r="209" spans="1:21" ht="14.25" customHeight="1">
      <c r="A209" s="14"/>
      <c r="C209" s="15"/>
      <c r="J209" s="16"/>
      <c r="L209" s="16"/>
      <c r="P209" s="16"/>
      <c r="U209" s="16"/>
    </row>
    <row r="210" spans="1:21" ht="14.25" customHeight="1">
      <c r="A210" s="14"/>
      <c r="C210" s="15"/>
      <c r="J210" s="16"/>
      <c r="L210" s="16"/>
      <c r="P210" s="16"/>
      <c r="U210" s="16"/>
    </row>
    <row r="211" spans="1:21" ht="14.25" customHeight="1">
      <c r="A211" s="14"/>
      <c r="C211" s="15"/>
      <c r="J211" s="16"/>
      <c r="L211" s="16"/>
      <c r="P211" s="16"/>
      <c r="U211" s="16"/>
    </row>
    <row r="212" spans="1:21" ht="14.25" customHeight="1">
      <c r="A212" s="14"/>
      <c r="C212" s="15"/>
      <c r="J212" s="16"/>
      <c r="L212" s="16"/>
      <c r="P212" s="16"/>
      <c r="U212" s="16"/>
    </row>
    <row r="213" spans="1:21" ht="14.25" customHeight="1">
      <c r="A213" s="14"/>
      <c r="C213" s="15"/>
      <c r="J213" s="16"/>
      <c r="L213" s="16"/>
      <c r="P213" s="16"/>
      <c r="U213" s="16"/>
    </row>
    <row r="214" spans="1:21" ht="14.25" customHeight="1">
      <c r="A214" s="14"/>
      <c r="C214" s="15"/>
      <c r="J214" s="16"/>
      <c r="L214" s="16"/>
      <c r="P214" s="16"/>
      <c r="U214" s="16"/>
    </row>
    <row r="215" spans="1:21" ht="14.25" customHeight="1">
      <c r="A215" s="14"/>
      <c r="C215" s="15"/>
      <c r="J215" s="16"/>
      <c r="L215" s="16"/>
      <c r="P215" s="16"/>
      <c r="U215" s="16"/>
    </row>
    <row r="216" spans="1:21" ht="14.25" customHeight="1">
      <c r="A216" s="14"/>
      <c r="C216" s="15"/>
      <c r="J216" s="16"/>
      <c r="L216" s="16"/>
      <c r="P216" s="16"/>
      <c r="U216" s="16"/>
    </row>
    <row r="217" spans="1:21" ht="14.25" customHeight="1">
      <c r="A217" s="14"/>
      <c r="C217" s="15"/>
      <c r="J217" s="16"/>
      <c r="L217" s="16"/>
      <c r="P217" s="16"/>
      <c r="U217" s="16"/>
    </row>
    <row r="218" spans="1:21" ht="14.25" customHeight="1">
      <c r="A218" s="14"/>
      <c r="C218" s="15"/>
      <c r="J218" s="16"/>
      <c r="L218" s="16"/>
      <c r="P218" s="16"/>
      <c r="U218" s="16"/>
    </row>
    <row r="219" spans="1:21" ht="14.25" customHeight="1">
      <c r="A219" s="14"/>
      <c r="C219" s="15"/>
      <c r="J219" s="16"/>
      <c r="L219" s="16"/>
      <c r="P219" s="16"/>
      <c r="U219" s="16"/>
    </row>
    <row r="220" spans="1:21" ht="14.25" customHeight="1">
      <c r="A220" s="14"/>
      <c r="C220" s="15"/>
      <c r="J220" s="16"/>
      <c r="L220" s="16"/>
      <c r="P220" s="16"/>
      <c r="U220" s="16"/>
    </row>
    <row r="221" spans="1:21" ht="14.25" customHeight="1">
      <c r="A221" s="14"/>
      <c r="C221" s="15"/>
      <c r="J221" s="16"/>
      <c r="L221" s="16"/>
      <c r="P221" s="16"/>
      <c r="U221" s="16"/>
    </row>
    <row r="222" spans="1:21" ht="14.25" customHeight="1">
      <c r="A222" s="14"/>
      <c r="C222" s="15"/>
      <c r="J222" s="16"/>
      <c r="L222" s="16"/>
      <c r="P222" s="16"/>
      <c r="U222" s="16"/>
    </row>
    <row r="223" spans="1:21" ht="14.25" customHeight="1">
      <c r="A223" s="14"/>
      <c r="C223" s="15"/>
      <c r="J223" s="16"/>
      <c r="L223" s="16"/>
      <c r="P223" s="16"/>
      <c r="U223" s="16"/>
    </row>
    <row r="224" spans="1:21" ht="14.25" customHeight="1">
      <c r="A224" s="14"/>
      <c r="C224" s="15"/>
      <c r="J224" s="16"/>
      <c r="L224" s="16"/>
      <c r="P224" s="16"/>
      <c r="U224" s="16"/>
    </row>
    <row r="225" spans="1:21" ht="14.25" customHeight="1">
      <c r="A225" s="14"/>
      <c r="C225" s="15"/>
      <c r="J225" s="16"/>
      <c r="L225" s="16"/>
      <c r="P225" s="16"/>
      <c r="U225" s="16"/>
    </row>
    <row r="226" spans="1:21" ht="14.25" customHeight="1">
      <c r="A226" s="14"/>
      <c r="C226" s="15"/>
      <c r="J226" s="16"/>
      <c r="L226" s="16"/>
      <c r="P226" s="16"/>
      <c r="U226" s="16"/>
    </row>
    <row r="227" spans="1:21" ht="14.25" customHeight="1">
      <c r="A227" s="14"/>
      <c r="C227" s="15"/>
      <c r="J227" s="16"/>
      <c r="L227" s="16"/>
      <c r="P227" s="16"/>
      <c r="U227" s="16"/>
    </row>
    <row r="228" spans="1:21" ht="14.25" customHeight="1">
      <c r="A228" s="14"/>
      <c r="C228" s="15"/>
      <c r="J228" s="16"/>
      <c r="L228" s="16"/>
      <c r="P228" s="16"/>
      <c r="U228" s="16"/>
    </row>
    <row r="229" spans="1:21" ht="14.25" customHeight="1">
      <c r="A229" s="14"/>
      <c r="C229" s="15"/>
      <c r="J229" s="16"/>
      <c r="L229" s="16"/>
      <c r="P229" s="16"/>
      <c r="U229" s="16"/>
    </row>
    <row r="230" spans="1:21" ht="14.25" customHeight="1">
      <c r="A230" s="14"/>
      <c r="C230" s="15"/>
      <c r="J230" s="16"/>
      <c r="L230" s="16"/>
      <c r="P230" s="16"/>
      <c r="U230" s="16"/>
    </row>
    <row r="231" spans="1:21" ht="14.25" customHeight="1">
      <c r="A231" s="14"/>
      <c r="C231" s="15"/>
      <c r="J231" s="16"/>
      <c r="L231" s="16"/>
      <c r="P231" s="16"/>
      <c r="U231" s="16"/>
    </row>
    <row r="232" spans="1:21" ht="14.25" customHeight="1">
      <c r="A232" s="14"/>
      <c r="C232" s="15"/>
      <c r="J232" s="16"/>
      <c r="L232" s="16"/>
      <c r="P232" s="16"/>
      <c r="U232" s="16"/>
    </row>
    <row r="233" spans="1:21" ht="14.25" customHeight="1">
      <c r="A233" s="14"/>
      <c r="C233" s="15"/>
      <c r="J233" s="16"/>
      <c r="L233" s="16"/>
      <c r="P233" s="16"/>
      <c r="U233" s="16"/>
    </row>
    <row r="234" spans="1:21" ht="14.25" customHeight="1">
      <c r="A234" s="14"/>
      <c r="C234" s="15"/>
      <c r="J234" s="16"/>
      <c r="L234" s="16"/>
      <c r="P234" s="16"/>
      <c r="U234" s="16"/>
    </row>
    <row r="235" spans="1:21" ht="14.25" customHeight="1">
      <c r="A235" s="14"/>
      <c r="C235" s="15"/>
      <c r="J235" s="16"/>
      <c r="L235" s="16"/>
      <c r="P235" s="16"/>
      <c r="U235" s="16"/>
    </row>
    <row r="236" spans="1:21" ht="14.25" customHeight="1">
      <c r="A236" s="14"/>
      <c r="C236" s="15"/>
      <c r="J236" s="16"/>
      <c r="L236" s="16"/>
      <c r="P236" s="16"/>
      <c r="U236" s="16"/>
    </row>
    <row r="237" spans="1:21" ht="14.25" customHeight="1">
      <c r="A237" s="14"/>
      <c r="C237" s="15"/>
      <c r="J237" s="16"/>
      <c r="L237" s="16"/>
      <c r="P237" s="16"/>
      <c r="U237" s="16"/>
    </row>
    <row r="238" spans="1:21" ht="14.25" customHeight="1">
      <c r="A238" s="14"/>
      <c r="C238" s="15"/>
      <c r="J238" s="16"/>
      <c r="L238" s="16"/>
      <c r="P238" s="16"/>
      <c r="U238" s="16"/>
    </row>
    <row r="239" spans="1:21" ht="14.25" customHeight="1">
      <c r="A239" s="14"/>
      <c r="C239" s="15"/>
      <c r="J239" s="16"/>
      <c r="L239" s="16"/>
      <c r="P239" s="16"/>
      <c r="U239" s="16"/>
    </row>
    <row r="240" spans="1:21" ht="14.25" customHeight="1">
      <c r="A240" s="14"/>
      <c r="C240" s="15"/>
      <c r="J240" s="16"/>
      <c r="L240" s="16"/>
      <c r="P240" s="16"/>
      <c r="U240" s="16"/>
    </row>
    <row r="241" spans="1:21" ht="14.25" customHeight="1">
      <c r="A241" s="14"/>
      <c r="C241" s="15"/>
      <c r="J241" s="16"/>
      <c r="L241" s="16"/>
      <c r="P241" s="16"/>
      <c r="U241" s="16"/>
    </row>
    <row r="242" spans="1:21" ht="14.25" customHeight="1">
      <c r="A242" s="14"/>
      <c r="C242" s="15"/>
      <c r="J242" s="16"/>
      <c r="L242" s="16"/>
      <c r="P242" s="16"/>
      <c r="U242" s="16"/>
    </row>
    <row r="243" spans="1:21" ht="14.25" customHeight="1">
      <c r="A243" s="14"/>
      <c r="C243" s="15"/>
      <c r="J243" s="16"/>
      <c r="L243" s="16"/>
      <c r="P243" s="16"/>
      <c r="U243" s="16"/>
    </row>
    <row r="244" spans="1:21" ht="14.25" customHeight="1">
      <c r="A244" s="14"/>
      <c r="C244" s="15"/>
      <c r="J244" s="16"/>
      <c r="L244" s="16"/>
      <c r="P244" s="16"/>
      <c r="U244" s="16"/>
    </row>
    <row r="245" spans="1:21" ht="14.25" customHeight="1">
      <c r="A245" s="14"/>
      <c r="C245" s="15"/>
      <c r="J245" s="16"/>
      <c r="L245" s="16"/>
      <c r="P245" s="16"/>
      <c r="U245" s="16"/>
    </row>
    <row r="246" spans="1:21" ht="14.25" customHeight="1">
      <c r="A246" s="14"/>
      <c r="C246" s="15"/>
      <c r="J246" s="16"/>
      <c r="L246" s="16"/>
      <c r="P246" s="16"/>
      <c r="U246" s="16"/>
    </row>
    <row r="247" spans="1:21" ht="14.25" customHeight="1">
      <c r="A247" s="14"/>
      <c r="C247" s="15"/>
      <c r="J247" s="16"/>
      <c r="L247" s="16"/>
      <c r="P247" s="16"/>
      <c r="U247" s="16"/>
    </row>
    <row r="248" spans="1:21" ht="14.25" customHeight="1">
      <c r="A248" s="14"/>
      <c r="C248" s="15"/>
      <c r="J248" s="16"/>
      <c r="L248" s="16"/>
      <c r="P248" s="16"/>
      <c r="U248" s="16"/>
    </row>
    <row r="249" spans="1:21" ht="14.25" customHeight="1">
      <c r="A249" s="14"/>
      <c r="C249" s="15"/>
      <c r="J249" s="16"/>
      <c r="L249" s="16"/>
      <c r="P249" s="16"/>
      <c r="U249" s="16"/>
    </row>
    <row r="250" spans="1:21" ht="14.25" customHeight="1">
      <c r="A250" s="14"/>
      <c r="C250" s="15"/>
      <c r="J250" s="16"/>
      <c r="L250" s="16"/>
      <c r="P250" s="16"/>
      <c r="U250" s="16"/>
    </row>
    <row r="251" spans="1:21" ht="14.25" customHeight="1">
      <c r="A251" s="14"/>
      <c r="C251" s="15"/>
      <c r="J251" s="16"/>
      <c r="L251" s="16"/>
      <c r="P251" s="16"/>
      <c r="U251" s="16"/>
    </row>
    <row r="252" spans="1:21" ht="14.25" customHeight="1">
      <c r="A252" s="14"/>
      <c r="C252" s="15"/>
      <c r="J252" s="16"/>
      <c r="L252" s="16"/>
      <c r="P252" s="16"/>
      <c r="U252" s="16"/>
    </row>
    <row r="253" spans="1:21" ht="14.25" customHeight="1">
      <c r="A253" s="14"/>
      <c r="C253" s="15"/>
      <c r="J253" s="16"/>
      <c r="L253" s="16"/>
      <c r="P253" s="16"/>
      <c r="U253" s="16"/>
    </row>
    <row r="254" spans="1:21" ht="14.25" customHeight="1">
      <c r="A254" s="14"/>
      <c r="C254" s="15"/>
      <c r="J254" s="16"/>
      <c r="L254" s="16"/>
      <c r="P254" s="16"/>
      <c r="U254" s="16"/>
    </row>
    <row r="255" spans="1:21" ht="14.25" customHeight="1">
      <c r="A255" s="14"/>
      <c r="C255" s="15"/>
      <c r="J255" s="16"/>
      <c r="L255" s="16"/>
      <c r="P255" s="16"/>
      <c r="U255" s="16"/>
    </row>
    <row r="256" spans="1:21" ht="14.25" customHeight="1">
      <c r="A256" s="14"/>
      <c r="C256" s="15"/>
      <c r="J256" s="16"/>
      <c r="L256" s="16"/>
      <c r="P256" s="16"/>
      <c r="U256" s="16"/>
    </row>
    <row r="257" spans="1:21" ht="14.25" customHeight="1">
      <c r="A257" s="14"/>
      <c r="C257" s="15"/>
      <c r="J257" s="16"/>
      <c r="L257" s="16"/>
      <c r="P257" s="16"/>
      <c r="U257" s="16"/>
    </row>
    <row r="258" spans="1:21" ht="14.25" customHeight="1">
      <c r="A258" s="14"/>
      <c r="C258" s="15"/>
      <c r="J258" s="16"/>
      <c r="L258" s="16"/>
      <c r="P258" s="16"/>
      <c r="U258" s="16"/>
    </row>
    <row r="259" spans="1:21" ht="14.25" customHeight="1">
      <c r="A259" s="14"/>
      <c r="C259" s="15"/>
      <c r="J259" s="16"/>
      <c r="L259" s="16"/>
      <c r="P259" s="16"/>
      <c r="U259" s="16"/>
    </row>
    <row r="260" spans="1:21" ht="14.25" customHeight="1">
      <c r="A260" s="14"/>
      <c r="C260" s="15"/>
      <c r="J260" s="16"/>
      <c r="L260" s="16"/>
      <c r="P260" s="16"/>
      <c r="U260" s="16"/>
    </row>
    <row r="261" spans="1:21" ht="14.25" customHeight="1">
      <c r="A261" s="14"/>
      <c r="C261" s="15"/>
      <c r="J261" s="16"/>
      <c r="L261" s="16"/>
      <c r="P261" s="16"/>
      <c r="U261" s="16"/>
    </row>
    <row r="262" spans="1:21" ht="14.25" customHeight="1">
      <c r="A262" s="14"/>
      <c r="C262" s="15"/>
      <c r="J262" s="16"/>
      <c r="L262" s="16"/>
      <c r="P262" s="16"/>
      <c r="U262" s="16"/>
    </row>
    <row r="263" spans="1:21" ht="14.25" customHeight="1">
      <c r="A263" s="14"/>
      <c r="C263" s="15"/>
      <c r="J263" s="16"/>
      <c r="L263" s="16"/>
      <c r="P263" s="16"/>
      <c r="U263" s="16"/>
    </row>
    <row r="264" spans="1:21" ht="14.25" customHeight="1">
      <c r="A264" s="14"/>
      <c r="C264" s="15"/>
      <c r="J264" s="16"/>
      <c r="L264" s="16"/>
      <c r="P264" s="16"/>
      <c r="U264" s="16"/>
    </row>
    <row r="265" spans="1:21" ht="14.25" customHeight="1">
      <c r="A265" s="14"/>
      <c r="C265" s="15"/>
      <c r="J265" s="16"/>
      <c r="L265" s="16"/>
      <c r="P265" s="16"/>
      <c r="U265" s="16"/>
    </row>
    <row r="266" spans="1:21" ht="14.25" customHeight="1">
      <c r="A266" s="14"/>
      <c r="C266" s="15"/>
      <c r="J266" s="16"/>
      <c r="L266" s="16"/>
      <c r="P266" s="16"/>
      <c r="U266" s="16"/>
    </row>
    <row r="267" spans="1:21" ht="14.25" customHeight="1">
      <c r="A267" s="14"/>
      <c r="C267" s="15"/>
      <c r="J267" s="16"/>
      <c r="L267" s="16"/>
      <c r="P267" s="16"/>
      <c r="U267" s="16"/>
    </row>
    <row r="268" spans="1:21" ht="14.25" customHeight="1">
      <c r="A268" s="14"/>
      <c r="C268" s="15"/>
      <c r="J268" s="16"/>
      <c r="L268" s="16"/>
      <c r="P268" s="16"/>
      <c r="U268" s="16"/>
    </row>
    <row r="269" spans="1:21" ht="14.25" customHeight="1">
      <c r="A269" s="14"/>
      <c r="C269" s="15"/>
      <c r="J269" s="16"/>
      <c r="L269" s="16"/>
      <c r="P269" s="16"/>
      <c r="U269" s="16"/>
    </row>
    <row r="270" spans="1:21" ht="14.25" customHeight="1">
      <c r="A270" s="14"/>
      <c r="C270" s="15"/>
      <c r="J270" s="16"/>
      <c r="L270" s="16"/>
      <c r="P270" s="16"/>
      <c r="U270" s="16"/>
    </row>
    <row r="271" spans="1:21" ht="14.25" customHeight="1">
      <c r="A271" s="14"/>
      <c r="C271" s="15"/>
      <c r="J271" s="16"/>
      <c r="L271" s="16"/>
      <c r="P271" s="16"/>
      <c r="U271" s="16"/>
    </row>
    <row r="272" spans="1:21" ht="14.25" customHeight="1">
      <c r="A272" s="14"/>
      <c r="C272" s="15"/>
      <c r="J272" s="16"/>
      <c r="L272" s="16"/>
      <c r="P272" s="16"/>
      <c r="U272" s="16"/>
    </row>
    <row r="273" spans="1:21" ht="14.25" customHeight="1">
      <c r="A273" s="14"/>
      <c r="C273" s="15"/>
      <c r="J273" s="16"/>
      <c r="L273" s="16"/>
      <c r="P273" s="16"/>
      <c r="U273" s="16"/>
    </row>
    <row r="274" spans="1:21" ht="14.25" customHeight="1">
      <c r="A274" s="14"/>
      <c r="C274" s="15"/>
      <c r="J274" s="16"/>
      <c r="L274" s="16"/>
      <c r="P274" s="16"/>
      <c r="U274" s="16"/>
    </row>
    <row r="275" spans="1:21" ht="14.25" customHeight="1">
      <c r="A275" s="14"/>
      <c r="C275" s="15"/>
      <c r="J275" s="16"/>
      <c r="L275" s="16"/>
      <c r="P275" s="16"/>
      <c r="U275" s="16"/>
    </row>
    <row r="276" spans="1:21" ht="14.25" customHeight="1">
      <c r="A276" s="14"/>
      <c r="C276" s="15"/>
      <c r="J276" s="16"/>
      <c r="L276" s="16"/>
      <c r="P276" s="16"/>
      <c r="U276" s="16"/>
    </row>
    <row r="277" spans="1:21" ht="14.25" customHeight="1">
      <c r="A277" s="14"/>
      <c r="C277" s="15"/>
      <c r="J277" s="16"/>
      <c r="L277" s="16"/>
      <c r="P277" s="16"/>
      <c r="U277" s="16"/>
    </row>
    <row r="278" spans="1:21" ht="14.25" customHeight="1">
      <c r="A278" s="14"/>
      <c r="C278" s="15"/>
      <c r="J278" s="16"/>
      <c r="L278" s="16"/>
      <c r="P278" s="16"/>
      <c r="U278" s="16"/>
    </row>
    <row r="279" spans="1:21" ht="14.25" customHeight="1">
      <c r="A279" s="14"/>
      <c r="C279" s="15"/>
      <c r="J279" s="16"/>
      <c r="L279" s="16"/>
      <c r="P279" s="16"/>
      <c r="U279" s="16"/>
    </row>
    <row r="280" spans="1:21" ht="14.25" customHeight="1">
      <c r="A280" s="14"/>
      <c r="C280" s="15"/>
      <c r="J280" s="16"/>
      <c r="L280" s="16"/>
      <c r="P280" s="16"/>
      <c r="U280" s="16"/>
    </row>
    <row r="281" spans="1:21" ht="14.25" customHeight="1">
      <c r="A281" s="14"/>
      <c r="C281" s="15"/>
      <c r="J281" s="16"/>
      <c r="L281" s="16"/>
      <c r="P281" s="16"/>
      <c r="U281" s="16"/>
    </row>
    <row r="282" spans="1:21" ht="14.25" customHeight="1">
      <c r="A282" s="14"/>
      <c r="C282" s="15"/>
      <c r="J282" s="16"/>
      <c r="L282" s="16"/>
      <c r="P282" s="16"/>
      <c r="U282" s="16"/>
    </row>
    <row r="283" spans="1:21" ht="14.25" customHeight="1">
      <c r="A283" s="14"/>
      <c r="C283" s="15"/>
      <c r="J283" s="16"/>
      <c r="L283" s="16"/>
      <c r="P283" s="16"/>
      <c r="U283" s="16"/>
    </row>
    <row r="284" spans="1:21" ht="14.25" customHeight="1">
      <c r="A284" s="14"/>
      <c r="C284" s="15"/>
      <c r="J284" s="16"/>
      <c r="L284" s="16"/>
      <c r="P284" s="16"/>
      <c r="U284" s="16"/>
    </row>
    <row r="285" spans="1:21" ht="14.25" customHeight="1">
      <c r="A285" s="14"/>
      <c r="C285" s="15"/>
      <c r="J285" s="16"/>
      <c r="L285" s="16"/>
      <c r="P285" s="16"/>
      <c r="U285" s="16"/>
    </row>
    <row r="286" spans="1:21" ht="14.25" customHeight="1">
      <c r="A286" s="14"/>
      <c r="C286" s="15"/>
      <c r="J286" s="16"/>
      <c r="L286" s="16"/>
      <c r="P286" s="16"/>
      <c r="U286" s="16"/>
    </row>
    <row r="287" spans="1:21" ht="14.25" customHeight="1">
      <c r="A287" s="14"/>
      <c r="C287" s="15"/>
      <c r="J287" s="16"/>
      <c r="L287" s="16"/>
      <c r="P287" s="16"/>
      <c r="U287" s="16"/>
    </row>
    <row r="288" spans="1:21" ht="14.25" customHeight="1">
      <c r="A288" s="14"/>
      <c r="C288" s="15"/>
      <c r="J288" s="16"/>
      <c r="L288" s="16"/>
      <c r="P288" s="16"/>
      <c r="U288" s="16"/>
    </row>
    <row r="289" spans="1:21" ht="14.25" customHeight="1">
      <c r="A289" s="14"/>
      <c r="C289" s="15"/>
      <c r="J289" s="16"/>
      <c r="L289" s="16"/>
      <c r="P289" s="16"/>
      <c r="U289" s="16"/>
    </row>
    <row r="290" spans="1:21" ht="14.25" customHeight="1">
      <c r="A290" s="14"/>
      <c r="C290" s="15"/>
      <c r="J290" s="16"/>
      <c r="L290" s="16"/>
      <c r="P290" s="16"/>
      <c r="U290" s="16"/>
    </row>
    <row r="291" spans="1:21" ht="14.25" customHeight="1">
      <c r="A291" s="14"/>
      <c r="C291" s="15"/>
      <c r="J291" s="16"/>
      <c r="L291" s="16"/>
      <c r="P291" s="16"/>
      <c r="U291" s="16"/>
    </row>
    <row r="292" spans="1:21" ht="14.25" customHeight="1">
      <c r="A292" s="14"/>
      <c r="C292" s="15"/>
      <c r="J292" s="16"/>
      <c r="L292" s="16"/>
      <c r="P292" s="16"/>
      <c r="U292" s="16"/>
    </row>
    <row r="293" spans="1:21" ht="14.25" customHeight="1">
      <c r="A293" s="14"/>
      <c r="C293" s="15"/>
      <c r="J293" s="16"/>
      <c r="L293" s="16"/>
      <c r="P293" s="16"/>
      <c r="U293" s="16"/>
    </row>
    <row r="294" spans="1:21" ht="14.25" customHeight="1">
      <c r="A294" s="14"/>
      <c r="C294" s="15"/>
      <c r="J294" s="16"/>
      <c r="L294" s="16"/>
      <c r="P294" s="16"/>
      <c r="U294" s="16"/>
    </row>
    <row r="295" spans="1:21" ht="14.25" customHeight="1">
      <c r="A295" s="14"/>
      <c r="C295" s="15"/>
      <c r="J295" s="16"/>
      <c r="L295" s="16"/>
      <c r="P295" s="16"/>
      <c r="U295" s="16"/>
    </row>
    <row r="296" spans="1:21" ht="14.25" customHeight="1">
      <c r="A296" s="14"/>
      <c r="C296" s="15"/>
      <c r="J296" s="16"/>
      <c r="L296" s="16"/>
      <c r="P296" s="16"/>
      <c r="U296" s="16"/>
    </row>
    <row r="297" spans="1:21" ht="14.25" customHeight="1">
      <c r="A297" s="14"/>
      <c r="C297" s="15"/>
      <c r="J297" s="16"/>
      <c r="L297" s="16"/>
      <c r="P297" s="16"/>
      <c r="U297" s="16"/>
    </row>
    <row r="298" spans="1:21" ht="14.25" customHeight="1">
      <c r="A298" s="14"/>
      <c r="C298" s="15"/>
      <c r="J298" s="16"/>
      <c r="L298" s="16"/>
      <c r="P298" s="16"/>
      <c r="U298" s="16"/>
    </row>
    <row r="299" spans="1:21" ht="14.25" customHeight="1">
      <c r="A299" s="14"/>
      <c r="C299" s="15"/>
      <c r="J299" s="16"/>
      <c r="L299" s="16"/>
      <c r="P299" s="16"/>
      <c r="U299" s="16"/>
    </row>
    <row r="300" spans="1:21" ht="14.25" customHeight="1">
      <c r="A300" s="14"/>
      <c r="C300" s="15"/>
      <c r="J300" s="16"/>
      <c r="L300" s="16"/>
      <c r="P300" s="16"/>
      <c r="U300" s="16"/>
    </row>
    <row r="301" spans="1:21" ht="14.25" customHeight="1">
      <c r="A301" s="14"/>
      <c r="C301" s="15"/>
      <c r="J301" s="16"/>
      <c r="L301" s="16"/>
      <c r="P301" s="16"/>
      <c r="U301" s="16"/>
    </row>
    <row r="302" spans="1:21" ht="14.25" customHeight="1">
      <c r="A302" s="14"/>
      <c r="C302" s="15"/>
      <c r="J302" s="16"/>
      <c r="L302" s="16"/>
      <c r="P302" s="16"/>
      <c r="U302" s="16"/>
    </row>
    <row r="303" spans="1:21" ht="14.25" customHeight="1">
      <c r="A303" s="14"/>
      <c r="C303" s="15"/>
      <c r="J303" s="16"/>
      <c r="L303" s="16"/>
      <c r="P303" s="16"/>
      <c r="U303" s="16"/>
    </row>
    <row r="304" spans="1:21" ht="14.25" customHeight="1">
      <c r="A304" s="14"/>
      <c r="C304" s="15"/>
      <c r="J304" s="16"/>
      <c r="L304" s="16"/>
      <c r="P304" s="16"/>
      <c r="U304" s="16"/>
    </row>
    <row r="305" spans="1:21" ht="14.25" customHeight="1">
      <c r="A305" s="14"/>
      <c r="C305" s="15"/>
      <c r="J305" s="16"/>
      <c r="L305" s="16"/>
      <c r="P305" s="16"/>
      <c r="U305" s="16"/>
    </row>
    <row r="306" spans="1:21" ht="14.25" customHeight="1">
      <c r="A306" s="14"/>
      <c r="C306" s="15"/>
      <c r="J306" s="16"/>
      <c r="L306" s="16"/>
      <c r="P306" s="16"/>
      <c r="U306" s="16"/>
    </row>
    <row r="307" spans="1:21" ht="14.25" customHeight="1">
      <c r="A307" s="14"/>
      <c r="C307" s="15"/>
      <c r="J307" s="16"/>
      <c r="L307" s="16"/>
      <c r="P307" s="16"/>
      <c r="U307" s="16"/>
    </row>
    <row r="308" spans="1:21" ht="14.25" customHeight="1">
      <c r="A308" s="14"/>
      <c r="C308" s="15"/>
      <c r="J308" s="16"/>
      <c r="L308" s="16"/>
      <c r="P308" s="16"/>
      <c r="U308" s="16"/>
    </row>
    <row r="309" spans="1:21" ht="14.25" customHeight="1">
      <c r="A309" s="14"/>
      <c r="C309" s="15"/>
      <c r="J309" s="16"/>
      <c r="L309" s="16"/>
      <c r="P309" s="16"/>
      <c r="U309" s="16"/>
    </row>
    <row r="310" spans="1:21" ht="14.25" customHeight="1">
      <c r="A310" s="14"/>
      <c r="C310" s="15"/>
      <c r="J310" s="16"/>
      <c r="L310" s="16"/>
      <c r="P310" s="16"/>
      <c r="U310" s="16"/>
    </row>
    <row r="311" spans="1:21" ht="14.25" customHeight="1">
      <c r="A311" s="14"/>
      <c r="C311" s="15"/>
      <c r="J311" s="16"/>
      <c r="L311" s="16"/>
      <c r="P311" s="16"/>
      <c r="U311" s="16"/>
    </row>
    <row r="312" spans="1:21" ht="14.25" customHeight="1">
      <c r="A312" s="14"/>
      <c r="C312" s="15"/>
      <c r="J312" s="16"/>
      <c r="L312" s="16"/>
      <c r="P312" s="16"/>
      <c r="U312" s="16"/>
    </row>
    <row r="313" spans="1:21" ht="14.25" customHeight="1">
      <c r="A313" s="14"/>
      <c r="C313" s="15"/>
      <c r="J313" s="16"/>
      <c r="L313" s="16"/>
      <c r="P313" s="16"/>
      <c r="U313" s="16"/>
    </row>
    <row r="314" spans="1:21" ht="14.25" customHeight="1">
      <c r="A314" s="14"/>
      <c r="C314" s="15"/>
      <c r="J314" s="16"/>
      <c r="L314" s="16"/>
      <c r="P314" s="16"/>
      <c r="U314" s="16"/>
    </row>
    <row r="315" spans="1:21" ht="14.25" customHeight="1">
      <c r="A315" s="14"/>
      <c r="C315" s="15"/>
      <c r="J315" s="16"/>
      <c r="L315" s="16"/>
      <c r="P315" s="16"/>
      <c r="U315" s="16"/>
    </row>
    <row r="316" spans="1:21" ht="14.25" customHeight="1">
      <c r="A316" s="14"/>
      <c r="C316" s="15"/>
      <c r="J316" s="16"/>
      <c r="L316" s="16"/>
      <c r="P316" s="16"/>
      <c r="U316" s="16"/>
    </row>
    <row r="317" spans="1:21" ht="14.25" customHeight="1">
      <c r="A317" s="14"/>
      <c r="C317" s="15"/>
      <c r="J317" s="16"/>
      <c r="L317" s="16"/>
      <c r="P317" s="16"/>
      <c r="U317" s="16"/>
    </row>
    <row r="318" spans="1:21" ht="14.25" customHeight="1">
      <c r="A318" s="14"/>
      <c r="C318" s="15"/>
      <c r="J318" s="16"/>
      <c r="L318" s="16"/>
      <c r="P318" s="16"/>
      <c r="U318" s="16"/>
    </row>
    <row r="319" spans="1:21" ht="14.25" customHeight="1">
      <c r="A319" s="14"/>
      <c r="C319" s="15"/>
      <c r="J319" s="16"/>
      <c r="L319" s="16"/>
      <c r="P319" s="16"/>
      <c r="U319" s="16"/>
    </row>
    <row r="320" spans="1:21" ht="14.25" customHeight="1">
      <c r="A320" s="14"/>
      <c r="C320" s="15"/>
      <c r="J320" s="16"/>
      <c r="L320" s="16"/>
      <c r="P320" s="16"/>
      <c r="U320" s="16"/>
    </row>
    <row r="321" spans="1:21" ht="14.25" customHeight="1">
      <c r="A321" s="14"/>
      <c r="C321" s="15"/>
      <c r="J321" s="16"/>
      <c r="L321" s="16"/>
      <c r="P321" s="16"/>
      <c r="U321" s="16"/>
    </row>
    <row r="322" spans="1:21" ht="14.25" customHeight="1">
      <c r="A322" s="14"/>
      <c r="C322" s="15"/>
      <c r="J322" s="16"/>
      <c r="L322" s="16"/>
      <c r="P322" s="16"/>
      <c r="U322" s="16"/>
    </row>
    <row r="323" spans="1:21" ht="14.25" customHeight="1">
      <c r="A323" s="14"/>
      <c r="C323" s="15"/>
      <c r="J323" s="16"/>
      <c r="L323" s="16"/>
      <c r="P323" s="16"/>
      <c r="U323" s="16"/>
    </row>
    <row r="324" spans="1:21" ht="14.25" customHeight="1">
      <c r="A324" s="14"/>
      <c r="C324" s="15"/>
      <c r="J324" s="16"/>
      <c r="L324" s="16"/>
      <c r="P324" s="16"/>
      <c r="U324" s="16"/>
    </row>
    <row r="325" spans="1:21" ht="14.25" customHeight="1">
      <c r="A325" s="14"/>
      <c r="C325" s="15"/>
      <c r="J325" s="16"/>
      <c r="L325" s="16"/>
      <c r="P325" s="16"/>
      <c r="U325" s="16"/>
    </row>
    <row r="326" spans="1:21" ht="14.25" customHeight="1">
      <c r="A326" s="14"/>
      <c r="C326" s="15"/>
      <c r="J326" s="16"/>
      <c r="L326" s="16"/>
      <c r="P326" s="16"/>
      <c r="U326" s="16"/>
    </row>
    <row r="327" spans="1:21" ht="14.25" customHeight="1">
      <c r="A327" s="14"/>
      <c r="C327" s="15"/>
      <c r="J327" s="16"/>
      <c r="L327" s="16"/>
      <c r="P327" s="16"/>
      <c r="U327" s="16"/>
    </row>
    <row r="328" spans="1:21" ht="14.25" customHeight="1">
      <c r="A328" s="14"/>
      <c r="C328" s="15"/>
      <c r="J328" s="16"/>
      <c r="L328" s="16"/>
      <c r="P328" s="16"/>
      <c r="U328" s="16"/>
    </row>
    <row r="329" spans="1:21" ht="14.25" customHeight="1">
      <c r="A329" s="14"/>
      <c r="C329" s="15"/>
      <c r="J329" s="16"/>
      <c r="L329" s="16"/>
      <c r="P329" s="16"/>
      <c r="U329" s="16"/>
    </row>
    <row r="330" spans="1:21" ht="14.25" customHeight="1">
      <c r="A330" s="14"/>
      <c r="C330" s="15"/>
      <c r="J330" s="16"/>
      <c r="L330" s="16"/>
      <c r="P330" s="16"/>
      <c r="U330" s="16"/>
    </row>
    <row r="331" spans="1:21" ht="14.25" customHeight="1">
      <c r="A331" s="14"/>
      <c r="C331" s="15"/>
      <c r="J331" s="16"/>
      <c r="L331" s="16"/>
      <c r="P331" s="16"/>
      <c r="U331" s="16"/>
    </row>
    <row r="332" spans="1:21" ht="14.25" customHeight="1">
      <c r="A332" s="14"/>
      <c r="C332" s="15"/>
      <c r="J332" s="16"/>
      <c r="L332" s="16"/>
      <c r="P332" s="16"/>
      <c r="U332" s="16"/>
    </row>
    <row r="333" spans="1:21" ht="14.25" customHeight="1">
      <c r="A333" s="14"/>
      <c r="C333" s="15"/>
      <c r="J333" s="16"/>
      <c r="L333" s="16"/>
      <c r="P333" s="16"/>
      <c r="U333" s="16"/>
    </row>
    <row r="334" spans="1:21" ht="14.25" customHeight="1">
      <c r="A334" s="14"/>
      <c r="C334" s="15"/>
      <c r="J334" s="16"/>
      <c r="L334" s="16"/>
      <c r="P334" s="16"/>
      <c r="U334" s="16"/>
    </row>
    <row r="335" spans="1:21" ht="14.25" customHeight="1">
      <c r="A335" s="14"/>
      <c r="C335" s="15"/>
      <c r="J335" s="16"/>
      <c r="L335" s="16"/>
      <c r="P335" s="16"/>
      <c r="U335" s="16"/>
    </row>
    <row r="336" spans="1:21" ht="14.25" customHeight="1">
      <c r="A336" s="14"/>
      <c r="C336" s="15"/>
      <c r="J336" s="16"/>
      <c r="L336" s="16"/>
      <c r="P336" s="16"/>
      <c r="U336" s="16"/>
    </row>
    <row r="337" spans="1:21" ht="14.25" customHeight="1">
      <c r="A337" s="14"/>
      <c r="C337" s="15"/>
      <c r="J337" s="16"/>
      <c r="L337" s="16"/>
      <c r="P337" s="16"/>
      <c r="U337" s="16"/>
    </row>
    <row r="338" spans="1:21" ht="14.25" customHeight="1">
      <c r="A338" s="14"/>
      <c r="C338" s="15"/>
      <c r="J338" s="16"/>
      <c r="L338" s="16"/>
      <c r="P338" s="16"/>
      <c r="U338" s="16"/>
    </row>
    <row r="339" spans="1:21" ht="14.25" customHeight="1">
      <c r="A339" s="14"/>
      <c r="C339" s="15"/>
      <c r="J339" s="16"/>
      <c r="L339" s="16"/>
      <c r="P339" s="16"/>
      <c r="U339" s="16"/>
    </row>
    <row r="340" spans="1:21" ht="14.25" customHeight="1">
      <c r="A340" s="14"/>
      <c r="C340" s="15"/>
      <c r="J340" s="16"/>
      <c r="L340" s="16"/>
      <c r="P340" s="16"/>
      <c r="U340" s="16"/>
    </row>
    <row r="341" spans="1:21" ht="14.25" customHeight="1">
      <c r="A341" s="14"/>
      <c r="C341" s="15"/>
      <c r="J341" s="16"/>
      <c r="L341" s="16"/>
      <c r="P341" s="16"/>
      <c r="U341" s="16"/>
    </row>
    <row r="342" spans="1:21" ht="14.25" customHeight="1">
      <c r="A342" s="14"/>
      <c r="C342" s="15"/>
      <c r="J342" s="16"/>
      <c r="L342" s="16"/>
      <c r="P342" s="16"/>
      <c r="U342" s="16"/>
    </row>
    <row r="343" spans="1:21" ht="14.25" customHeight="1">
      <c r="A343" s="14"/>
      <c r="C343" s="15"/>
      <c r="J343" s="16"/>
      <c r="L343" s="16"/>
      <c r="P343" s="16"/>
      <c r="U343" s="16"/>
    </row>
    <row r="344" spans="1:21" ht="14.25" customHeight="1">
      <c r="A344" s="14"/>
      <c r="C344" s="15"/>
      <c r="J344" s="16"/>
      <c r="L344" s="16"/>
      <c r="P344" s="16"/>
      <c r="U344" s="16"/>
    </row>
    <row r="345" spans="1:21" ht="14.25" customHeight="1">
      <c r="A345" s="14"/>
      <c r="C345" s="15"/>
      <c r="J345" s="16"/>
      <c r="L345" s="16"/>
      <c r="P345" s="16"/>
      <c r="U345" s="16"/>
    </row>
    <row r="346" spans="1:21" ht="14.25" customHeight="1">
      <c r="A346" s="14"/>
      <c r="C346" s="15"/>
      <c r="J346" s="16"/>
      <c r="L346" s="16"/>
      <c r="P346" s="16"/>
      <c r="U346" s="16"/>
    </row>
    <row r="347" spans="1:21" ht="14.25" customHeight="1">
      <c r="A347" s="14"/>
      <c r="C347" s="15"/>
      <c r="J347" s="16"/>
      <c r="L347" s="16"/>
      <c r="P347" s="16"/>
      <c r="U347" s="16"/>
    </row>
    <row r="348" spans="1:21" ht="14.25" customHeight="1">
      <c r="A348" s="14"/>
      <c r="C348" s="15"/>
      <c r="J348" s="16"/>
      <c r="L348" s="16"/>
      <c r="P348" s="16"/>
      <c r="U348" s="16"/>
    </row>
    <row r="349" spans="1:21" ht="14.25" customHeight="1">
      <c r="A349" s="14"/>
      <c r="C349" s="15"/>
      <c r="J349" s="16"/>
      <c r="L349" s="16"/>
      <c r="P349" s="16"/>
      <c r="U349" s="16"/>
    </row>
    <row r="350" spans="1:21" ht="14.25" customHeight="1">
      <c r="A350" s="14"/>
      <c r="C350" s="15"/>
      <c r="J350" s="16"/>
      <c r="L350" s="16"/>
      <c r="P350" s="16"/>
      <c r="U350" s="16"/>
    </row>
    <row r="351" spans="1:21" ht="14.25" customHeight="1">
      <c r="A351" s="14"/>
      <c r="C351" s="15"/>
      <c r="J351" s="16"/>
      <c r="L351" s="16"/>
      <c r="P351" s="16"/>
      <c r="U351" s="16"/>
    </row>
    <row r="352" spans="1:21" ht="14.25" customHeight="1">
      <c r="A352" s="14"/>
      <c r="C352" s="15"/>
      <c r="J352" s="16"/>
      <c r="L352" s="16"/>
      <c r="P352" s="16"/>
      <c r="U352" s="16"/>
    </row>
    <row r="353" spans="1:21" ht="14.25" customHeight="1">
      <c r="A353" s="14"/>
      <c r="C353" s="15"/>
      <c r="J353" s="16"/>
      <c r="L353" s="16"/>
      <c r="P353" s="16"/>
      <c r="U353" s="16"/>
    </row>
    <row r="354" spans="1:21" ht="14.25" customHeight="1">
      <c r="A354" s="14"/>
      <c r="C354" s="15"/>
      <c r="J354" s="16"/>
      <c r="L354" s="16"/>
      <c r="P354" s="16"/>
      <c r="U354" s="16"/>
    </row>
    <row r="355" spans="1:21" ht="14.25" customHeight="1">
      <c r="A355" s="14"/>
      <c r="C355" s="15"/>
      <c r="J355" s="16"/>
      <c r="L355" s="16"/>
      <c r="P355" s="16"/>
      <c r="U355" s="16"/>
    </row>
    <row r="356" spans="1:21" ht="14.25" customHeight="1">
      <c r="A356" s="14"/>
      <c r="C356" s="15"/>
      <c r="J356" s="16"/>
      <c r="L356" s="16"/>
      <c r="P356" s="16"/>
      <c r="U356" s="16"/>
    </row>
    <row r="357" spans="1:21" ht="14.25" customHeight="1">
      <c r="A357" s="14"/>
      <c r="C357" s="15"/>
      <c r="J357" s="16"/>
      <c r="L357" s="16"/>
      <c r="P357" s="16"/>
      <c r="U357" s="16"/>
    </row>
    <row r="358" spans="1:21" ht="14.25" customHeight="1">
      <c r="A358" s="14"/>
      <c r="C358" s="15"/>
      <c r="J358" s="16"/>
      <c r="L358" s="16"/>
      <c r="P358" s="16"/>
      <c r="U358" s="16"/>
    </row>
    <row r="359" spans="1:21" ht="14.25" customHeight="1">
      <c r="A359" s="14"/>
      <c r="C359" s="15"/>
      <c r="J359" s="16"/>
      <c r="L359" s="16"/>
      <c r="P359" s="16"/>
      <c r="U359" s="16"/>
    </row>
    <row r="360" spans="1:21" ht="14.25" customHeight="1">
      <c r="A360" s="14"/>
      <c r="C360" s="15"/>
      <c r="J360" s="16"/>
      <c r="L360" s="16"/>
      <c r="P360" s="16"/>
      <c r="U360" s="16"/>
    </row>
    <row r="361" spans="1:21" ht="14.25" customHeight="1">
      <c r="A361" s="14"/>
      <c r="C361" s="15"/>
      <c r="J361" s="16"/>
      <c r="L361" s="16"/>
      <c r="P361" s="16"/>
      <c r="U361" s="16"/>
    </row>
    <row r="362" spans="1:21" ht="14.25" customHeight="1">
      <c r="A362" s="14"/>
      <c r="C362" s="15"/>
      <c r="J362" s="16"/>
      <c r="L362" s="16"/>
      <c r="P362" s="16"/>
      <c r="U362" s="16"/>
    </row>
    <row r="363" spans="1:21" ht="14.25" customHeight="1">
      <c r="A363" s="14"/>
      <c r="C363" s="15"/>
      <c r="J363" s="16"/>
      <c r="L363" s="16"/>
      <c r="P363" s="16"/>
      <c r="U363" s="16"/>
    </row>
    <row r="364" spans="1:21" ht="14.25" customHeight="1">
      <c r="A364" s="14"/>
      <c r="C364" s="15"/>
      <c r="J364" s="16"/>
      <c r="L364" s="16"/>
      <c r="P364" s="16"/>
      <c r="U364" s="16"/>
    </row>
    <row r="365" spans="1:21" ht="14.25" customHeight="1">
      <c r="A365" s="14"/>
      <c r="C365" s="15"/>
      <c r="J365" s="16"/>
      <c r="L365" s="16"/>
      <c r="P365" s="16"/>
      <c r="U365" s="16"/>
    </row>
    <row r="366" spans="1:21" ht="14.25" customHeight="1">
      <c r="A366" s="14"/>
      <c r="C366" s="15"/>
      <c r="J366" s="16"/>
      <c r="L366" s="16"/>
      <c r="P366" s="16"/>
      <c r="U366" s="16"/>
    </row>
    <row r="367" spans="1:21" ht="14.25" customHeight="1">
      <c r="A367" s="14"/>
      <c r="C367" s="15"/>
      <c r="J367" s="16"/>
      <c r="L367" s="16"/>
      <c r="P367" s="16"/>
      <c r="U367" s="16"/>
    </row>
    <row r="368" spans="1:21" ht="14.25" customHeight="1">
      <c r="A368" s="14"/>
      <c r="C368" s="15"/>
      <c r="J368" s="16"/>
      <c r="L368" s="16"/>
      <c r="P368" s="16"/>
      <c r="U368" s="16"/>
    </row>
    <row r="369" spans="1:21" ht="14.25" customHeight="1">
      <c r="A369" s="14"/>
      <c r="C369" s="15"/>
      <c r="J369" s="16"/>
      <c r="L369" s="16"/>
      <c r="P369" s="16"/>
      <c r="U369" s="16"/>
    </row>
    <row r="370" spans="1:21" ht="14.25" customHeight="1">
      <c r="A370" s="14"/>
      <c r="C370" s="15"/>
      <c r="J370" s="16"/>
      <c r="L370" s="16"/>
      <c r="P370" s="16"/>
      <c r="U370" s="16"/>
    </row>
    <row r="371" spans="1:21" ht="14.25" customHeight="1">
      <c r="A371" s="14"/>
      <c r="C371" s="15"/>
      <c r="J371" s="16"/>
      <c r="L371" s="16"/>
      <c r="P371" s="16"/>
      <c r="U371" s="16"/>
    </row>
    <row r="372" spans="1:21" ht="14.25" customHeight="1">
      <c r="A372" s="14"/>
      <c r="C372" s="15"/>
      <c r="J372" s="16"/>
      <c r="L372" s="16"/>
      <c r="P372" s="16"/>
      <c r="U372" s="16"/>
    </row>
    <row r="373" spans="1:21" ht="14.25" customHeight="1">
      <c r="A373" s="14"/>
      <c r="C373" s="15"/>
      <c r="J373" s="16"/>
      <c r="L373" s="16"/>
      <c r="P373" s="16"/>
      <c r="U373" s="16"/>
    </row>
    <row r="374" spans="1:21" ht="14.25" customHeight="1">
      <c r="A374" s="14"/>
      <c r="C374" s="15"/>
      <c r="J374" s="16"/>
      <c r="L374" s="16"/>
      <c r="P374" s="16"/>
      <c r="U374" s="16"/>
    </row>
    <row r="375" spans="1:21" ht="14.25" customHeight="1">
      <c r="A375" s="14"/>
      <c r="C375" s="15"/>
      <c r="J375" s="16"/>
      <c r="L375" s="16"/>
      <c r="P375" s="16"/>
      <c r="U375" s="16"/>
    </row>
    <row r="376" spans="1:21" ht="14.25" customHeight="1">
      <c r="A376" s="14"/>
      <c r="C376" s="15"/>
      <c r="J376" s="16"/>
      <c r="L376" s="16"/>
      <c r="P376" s="16"/>
      <c r="U376" s="16"/>
    </row>
    <row r="377" spans="1:21" ht="14.25" customHeight="1">
      <c r="A377" s="14"/>
      <c r="C377" s="15"/>
      <c r="J377" s="16"/>
      <c r="L377" s="16"/>
      <c r="P377" s="16"/>
      <c r="U377" s="16"/>
    </row>
    <row r="378" spans="1:21" ht="14.25" customHeight="1">
      <c r="A378" s="14"/>
      <c r="C378" s="15"/>
      <c r="J378" s="16"/>
      <c r="L378" s="16"/>
      <c r="P378" s="16"/>
      <c r="U378" s="16"/>
    </row>
    <row r="379" spans="1:21" ht="14.25" customHeight="1">
      <c r="A379" s="14"/>
      <c r="C379" s="15"/>
      <c r="J379" s="16"/>
      <c r="L379" s="16"/>
      <c r="P379" s="16"/>
      <c r="U379" s="16"/>
    </row>
    <row r="380" spans="1:21" ht="14.25" customHeight="1">
      <c r="A380" s="14"/>
      <c r="C380" s="15"/>
      <c r="J380" s="16"/>
      <c r="L380" s="16"/>
      <c r="P380" s="16"/>
      <c r="U380" s="16"/>
    </row>
    <row r="381" spans="1:21" ht="14.25" customHeight="1">
      <c r="A381" s="14"/>
      <c r="C381" s="15"/>
      <c r="J381" s="16"/>
      <c r="L381" s="16"/>
      <c r="P381" s="16"/>
      <c r="U381" s="16"/>
    </row>
    <row r="382" spans="1:21" ht="14.25" customHeight="1">
      <c r="A382" s="14"/>
      <c r="C382" s="15"/>
      <c r="J382" s="16"/>
      <c r="L382" s="16"/>
      <c r="P382" s="16"/>
      <c r="U382" s="16"/>
    </row>
    <row r="383" spans="1:21" ht="14.25" customHeight="1">
      <c r="A383" s="14"/>
      <c r="C383" s="15"/>
      <c r="J383" s="16"/>
      <c r="L383" s="16"/>
      <c r="P383" s="16"/>
      <c r="U383" s="16"/>
    </row>
    <row r="384" spans="1:21" ht="14.25" customHeight="1">
      <c r="A384" s="14"/>
      <c r="C384" s="15"/>
      <c r="J384" s="16"/>
      <c r="L384" s="16"/>
      <c r="P384" s="16"/>
      <c r="U384" s="16"/>
    </row>
    <row r="385" spans="1:21" ht="14.25" customHeight="1">
      <c r="A385" s="14"/>
      <c r="C385" s="15"/>
      <c r="J385" s="16"/>
      <c r="L385" s="16"/>
      <c r="P385" s="16"/>
      <c r="U385" s="16"/>
    </row>
    <row r="386" spans="1:21" ht="14.25" customHeight="1">
      <c r="A386" s="14"/>
      <c r="C386" s="15"/>
      <c r="J386" s="16"/>
      <c r="L386" s="16"/>
      <c r="P386" s="16"/>
      <c r="U386" s="16"/>
    </row>
    <row r="387" spans="1:21" ht="14.25" customHeight="1">
      <c r="A387" s="14"/>
      <c r="C387" s="15"/>
      <c r="J387" s="16"/>
      <c r="L387" s="16"/>
      <c r="P387" s="16"/>
      <c r="U387" s="16"/>
    </row>
    <row r="388" spans="1:21" ht="14.25" customHeight="1">
      <c r="A388" s="14"/>
      <c r="C388" s="15"/>
      <c r="J388" s="16"/>
      <c r="L388" s="16"/>
      <c r="P388" s="16"/>
      <c r="U388" s="16"/>
    </row>
    <row r="389" spans="1:21" ht="14.25" customHeight="1">
      <c r="A389" s="14"/>
      <c r="C389" s="15"/>
      <c r="J389" s="16"/>
      <c r="L389" s="16"/>
      <c r="P389" s="16"/>
      <c r="U389" s="16"/>
    </row>
    <row r="390" spans="1:21" ht="14.25" customHeight="1">
      <c r="A390" s="14"/>
      <c r="C390" s="15"/>
      <c r="J390" s="16"/>
      <c r="L390" s="16"/>
      <c r="P390" s="16"/>
      <c r="U390" s="16"/>
    </row>
    <row r="391" spans="1:21" ht="14.25" customHeight="1">
      <c r="A391" s="14"/>
      <c r="C391" s="15"/>
      <c r="J391" s="16"/>
      <c r="L391" s="16"/>
      <c r="P391" s="16"/>
      <c r="U391" s="16"/>
    </row>
    <row r="392" spans="1:21" ht="14.25" customHeight="1">
      <c r="A392" s="14"/>
      <c r="C392" s="15"/>
      <c r="J392" s="16"/>
      <c r="L392" s="16"/>
      <c r="P392" s="16"/>
      <c r="U392" s="16"/>
    </row>
    <row r="393" spans="1:21" ht="14.25" customHeight="1">
      <c r="A393" s="14"/>
      <c r="C393" s="15"/>
      <c r="J393" s="16"/>
      <c r="L393" s="16"/>
      <c r="P393" s="16"/>
      <c r="U393" s="16"/>
    </row>
    <row r="394" spans="1:21" ht="14.25" customHeight="1">
      <c r="A394" s="14"/>
      <c r="C394" s="15"/>
      <c r="J394" s="16"/>
      <c r="L394" s="16"/>
      <c r="P394" s="16"/>
      <c r="U394" s="16"/>
    </row>
    <row r="395" spans="1:21" ht="14.25" customHeight="1">
      <c r="A395" s="14"/>
      <c r="C395" s="15"/>
      <c r="J395" s="16"/>
      <c r="L395" s="16"/>
      <c r="P395" s="16"/>
      <c r="U395" s="16"/>
    </row>
    <row r="396" spans="1:21" ht="14.25" customHeight="1">
      <c r="A396" s="14"/>
      <c r="C396" s="15"/>
      <c r="J396" s="16"/>
      <c r="L396" s="16"/>
      <c r="P396" s="16"/>
      <c r="U396" s="16"/>
    </row>
    <row r="397" spans="1:21" ht="14.25" customHeight="1">
      <c r="A397" s="14"/>
      <c r="C397" s="15"/>
      <c r="J397" s="16"/>
      <c r="L397" s="16"/>
      <c r="P397" s="16"/>
      <c r="U397" s="16"/>
    </row>
    <row r="398" spans="1:21" ht="14.25" customHeight="1">
      <c r="A398" s="14"/>
      <c r="C398" s="15"/>
      <c r="J398" s="16"/>
      <c r="L398" s="16"/>
      <c r="P398" s="16"/>
      <c r="U398" s="16"/>
    </row>
    <row r="399" spans="1:21" ht="14.25" customHeight="1">
      <c r="A399" s="14"/>
      <c r="C399" s="15"/>
      <c r="J399" s="16"/>
      <c r="L399" s="16"/>
      <c r="P399" s="16"/>
      <c r="U399" s="16"/>
    </row>
    <row r="400" spans="1:21" ht="14.25" customHeight="1">
      <c r="A400" s="14"/>
      <c r="C400" s="15"/>
      <c r="J400" s="16"/>
      <c r="L400" s="16"/>
      <c r="P400" s="16"/>
      <c r="U400" s="16"/>
    </row>
    <row r="401" spans="1:21" ht="14.25" customHeight="1">
      <c r="A401" s="14"/>
      <c r="C401" s="15"/>
      <c r="J401" s="16"/>
      <c r="L401" s="16"/>
      <c r="P401" s="16"/>
      <c r="U401" s="16"/>
    </row>
    <row r="402" spans="1:21" ht="14.25" customHeight="1">
      <c r="A402" s="14"/>
      <c r="C402" s="15"/>
      <c r="J402" s="16"/>
      <c r="L402" s="16"/>
      <c r="P402" s="16"/>
      <c r="U402" s="16"/>
    </row>
    <row r="403" spans="1:21" ht="14.25" customHeight="1">
      <c r="A403" s="14"/>
      <c r="C403" s="15"/>
      <c r="J403" s="16"/>
      <c r="L403" s="16"/>
      <c r="P403" s="16"/>
      <c r="U403" s="16"/>
    </row>
    <row r="404" spans="1:21" ht="14.25" customHeight="1">
      <c r="A404" s="14"/>
      <c r="C404" s="15"/>
      <c r="J404" s="16"/>
      <c r="L404" s="16"/>
      <c r="P404" s="16"/>
      <c r="U404" s="16"/>
    </row>
    <row r="405" spans="1:21" ht="14.25" customHeight="1">
      <c r="A405" s="14"/>
      <c r="C405" s="15"/>
      <c r="J405" s="16"/>
      <c r="L405" s="16"/>
      <c r="P405" s="16"/>
      <c r="U405" s="16"/>
    </row>
    <row r="406" spans="1:21" ht="14.25" customHeight="1">
      <c r="A406" s="14"/>
      <c r="C406" s="15"/>
      <c r="J406" s="16"/>
      <c r="L406" s="16"/>
      <c r="P406" s="16"/>
      <c r="U406" s="16"/>
    </row>
    <row r="407" spans="1:21" ht="14.25" customHeight="1">
      <c r="A407" s="14"/>
      <c r="C407" s="15"/>
      <c r="J407" s="16"/>
      <c r="L407" s="16"/>
      <c r="P407" s="16"/>
      <c r="U407" s="16"/>
    </row>
    <row r="408" spans="1:21" ht="14.25" customHeight="1">
      <c r="A408" s="14"/>
      <c r="C408" s="15"/>
      <c r="J408" s="16"/>
      <c r="L408" s="16"/>
      <c r="P408" s="16"/>
      <c r="U408" s="16"/>
    </row>
    <row r="409" spans="1:21" ht="14.25" customHeight="1">
      <c r="A409" s="14"/>
      <c r="C409" s="15"/>
      <c r="J409" s="16"/>
      <c r="L409" s="16"/>
      <c r="P409" s="16"/>
      <c r="U409" s="16"/>
    </row>
    <row r="410" spans="1:21" ht="14.25" customHeight="1">
      <c r="A410" s="14"/>
      <c r="C410" s="15"/>
      <c r="J410" s="16"/>
      <c r="L410" s="16"/>
      <c r="P410" s="16"/>
      <c r="U410" s="16"/>
    </row>
    <row r="411" spans="1:21" ht="14.25" customHeight="1">
      <c r="A411" s="14"/>
      <c r="C411" s="15"/>
      <c r="J411" s="16"/>
      <c r="L411" s="16"/>
      <c r="P411" s="16"/>
      <c r="U411" s="16"/>
    </row>
    <row r="412" spans="1:21" ht="14.25" customHeight="1">
      <c r="A412" s="14"/>
      <c r="C412" s="15"/>
      <c r="J412" s="16"/>
      <c r="L412" s="16"/>
      <c r="P412" s="16"/>
      <c r="U412" s="16"/>
    </row>
    <row r="413" spans="1:21" ht="14.25" customHeight="1">
      <c r="A413" s="14"/>
      <c r="C413" s="15"/>
      <c r="J413" s="16"/>
      <c r="L413" s="16"/>
      <c r="P413" s="16"/>
      <c r="U413" s="16"/>
    </row>
    <row r="414" spans="1:21" ht="14.25" customHeight="1">
      <c r="A414" s="14"/>
      <c r="C414" s="15"/>
      <c r="J414" s="16"/>
      <c r="L414" s="16"/>
      <c r="P414" s="16"/>
      <c r="U414" s="16"/>
    </row>
    <row r="415" spans="1:21" ht="14.25" customHeight="1">
      <c r="A415" s="14"/>
      <c r="C415" s="15"/>
      <c r="J415" s="16"/>
      <c r="L415" s="16"/>
      <c r="P415" s="16"/>
      <c r="U415" s="16"/>
    </row>
    <row r="416" spans="1:21" ht="14.25" customHeight="1">
      <c r="A416" s="14"/>
      <c r="C416" s="15"/>
      <c r="J416" s="16"/>
      <c r="L416" s="16"/>
      <c r="P416" s="16"/>
      <c r="U416" s="16"/>
    </row>
    <row r="417" spans="1:21" ht="14.25" customHeight="1">
      <c r="A417" s="14"/>
      <c r="C417" s="15"/>
      <c r="J417" s="16"/>
      <c r="L417" s="16"/>
      <c r="P417" s="16"/>
      <c r="U417" s="16"/>
    </row>
    <row r="418" spans="1:21" ht="14.25" customHeight="1">
      <c r="A418" s="14"/>
      <c r="C418" s="15"/>
      <c r="J418" s="16"/>
      <c r="L418" s="16"/>
      <c r="P418" s="16"/>
      <c r="U418" s="16"/>
    </row>
    <row r="419" spans="1:21" ht="14.25" customHeight="1">
      <c r="A419" s="14"/>
      <c r="C419" s="15"/>
      <c r="J419" s="16"/>
      <c r="L419" s="16"/>
      <c r="P419" s="16"/>
      <c r="U419" s="16"/>
    </row>
    <row r="420" spans="1:21" ht="14.25" customHeight="1">
      <c r="A420" s="14"/>
      <c r="C420" s="15"/>
      <c r="J420" s="16"/>
      <c r="L420" s="16"/>
      <c r="P420" s="16"/>
      <c r="U420" s="16"/>
    </row>
    <row r="421" spans="1:21" ht="14.25" customHeight="1">
      <c r="A421" s="14"/>
      <c r="C421" s="15"/>
      <c r="J421" s="16"/>
      <c r="L421" s="16"/>
      <c r="P421" s="16"/>
      <c r="U421" s="16"/>
    </row>
    <row r="422" spans="1:21" ht="14.25" customHeight="1">
      <c r="A422" s="14"/>
      <c r="C422" s="15"/>
      <c r="J422" s="16"/>
      <c r="L422" s="16"/>
      <c r="P422" s="16"/>
      <c r="U422" s="16"/>
    </row>
    <row r="423" spans="1:21" ht="14.25" customHeight="1">
      <c r="A423" s="14"/>
      <c r="C423" s="15"/>
      <c r="J423" s="16"/>
      <c r="L423" s="16"/>
      <c r="P423" s="16"/>
      <c r="U423" s="16"/>
    </row>
    <row r="424" spans="1:21" ht="14.25" customHeight="1">
      <c r="A424" s="14"/>
      <c r="C424" s="15"/>
      <c r="J424" s="16"/>
      <c r="L424" s="16"/>
      <c r="P424" s="16"/>
      <c r="U424" s="16"/>
    </row>
    <row r="425" spans="1:21" ht="14.25" customHeight="1">
      <c r="A425" s="14"/>
      <c r="C425" s="15"/>
      <c r="J425" s="16"/>
      <c r="L425" s="16"/>
      <c r="P425" s="16"/>
      <c r="U425" s="16"/>
    </row>
    <row r="426" spans="1:21" ht="14.25" customHeight="1">
      <c r="A426" s="14"/>
      <c r="C426" s="15"/>
      <c r="J426" s="16"/>
      <c r="L426" s="16"/>
      <c r="P426" s="16"/>
      <c r="U426" s="16"/>
    </row>
    <row r="427" spans="1:21" ht="14.25" customHeight="1">
      <c r="A427" s="14"/>
      <c r="C427" s="15"/>
      <c r="J427" s="16"/>
      <c r="L427" s="16"/>
      <c r="P427" s="16"/>
      <c r="U427" s="16"/>
    </row>
    <row r="428" spans="1:21" ht="14.25" customHeight="1">
      <c r="A428" s="14"/>
      <c r="C428" s="15"/>
      <c r="J428" s="16"/>
      <c r="L428" s="16"/>
      <c r="P428" s="16"/>
      <c r="U428" s="16"/>
    </row>
    <row r="429" spans="1:21" ht="14.25" customHeight="1">
      <c r="A429" s="14"/>
      <c r="C429" s="15"/>
      <c r="J429" s="16"/>
      <c r="L429" s="16"/>
      <c r="P429" s="16"/>
      <c r="U429" s="16"/>
    </row>
    <row r="430" spans="1:21" ht="14.25" customHeight="1">
      <c r="A430" s="14"/>
      <c r="C430" s="15"/>
      <c r="J430" s="16"/>
      <c r="L430" s="16"/>
      <c r="P430" s="16"/>
      <c r="U430" s="16"/>
    </row>
    <row r="431" spans="1:21" ht="14.25" customHeight="1">
      <c r="A431" s="14"/>
      <c r="C431" s="15"/>
      <c r="J431" s="16"/>
      <c r="L431" s="16"/>
      <c r="P431" s="16"/>
      <c r="U431" s="16"/>
    </row>
    <row r="432" spans="1:21" ht="14.25" customHeight="1">
      <c r="A432" s="14"/>
      <c r="C432" s="15"/>
      <c r="J432" s="16"/>
      <c r="L432" s="16"/>
      <c r="P432" s="16"/>
      <c r="U432" s="16"/>
    </row>
    <row r="433" spans="1:21" ht="14.25" customHeight="1">
      <c r="A433" s="14"/>
      <c r="C433" s="15"/>
      <c r="J433" s="16"/>
      <c r="L433" s="16"/>
      <c r="P433" s="16"/>
      <c r="U433" s="16"/>
    </row>
    <row r="434" spans="1:21" ht="14.25" customHeight="1">
      <c r="A434" s="14"/>
      <c r="C434" s="15"/>
      <c r="J434" s="16"/>
      <c r="L434" s="16"/>
      <c r="P434" s="16"/>
      <c r="U434" s="16"/>
    </row>
    <row r="435" spans="1:21" ht="14.25" customHeight="1">
      <c r="A435" s="14"/>
      <c r="C435" s="15"/>
      <c r="J435" s="16"/>
      <c r="L435" s="16"/>
      <c r="P435" s="16"/>
      <c r="U435" s="16"/>
    </row>
    <row r="436" spans="1:21" ht="14.25" customHeight="1">
      <c r="A436" s="14"/>
      <c r="C436" s="15"/>
      <c r="J436" s="16"/>
      <c r="L436" s="16"/>
      <c r="P436" s="16"/>
      <c r="U436" s="16"/>
    </row>
    <row r="437" spans="1:21" ht="14.25" customHeight="1">
      <c r="A437" s="14"/>
      <c r="C437" s="15"/>
      <c r="J437" s="16"/>
      <c r="L437" s="16"/>
      <c r="P437" s="16"/>
      <c r="U437" s="16"/>
    </row>
    <row r="438" spans="1:21" ht="14.25" customHeight="1">
      <c r="A438" s="14"/>
      <c r="C438" s="15"/>
      <c r="J438" s="16"/>
      <c r="L438" s="16"/>
      <c r="P438" s="16"/>
      <c r="U438" s="16"/>
    </row>
    <row r="439" spans="1:21" ht="14.25" customHeight="1">
      <c r="A439" s="14"/>
      <c r="C439" s="15"/>
      <c r="J439" s="16"/>
      <c r="L439" s="16"/>
      <c r="P439" s="16"/>
      <c r="U439" s="16"/>
    </row>
    <row r="440" spans="1:21" ht="14.25" customHeight="1">
      <c r="A440" s="14"/>
      <c r="C440" s="15"/>
      <c r="J440" s="16"/>
      <c r="L440" s="16"/>
      <c r="P440" s="16"/>
      <c r="U440" s="16"/>
    </row>
    <row r="441" spans="1:21" ht="14.25" customHeight="1">
      <c r="A441" s="14"/>
      <c r="C441" s="15"/>
      <c r="J441" s="16"/>
      <c r="L441" s="16"/>
      <c r="P441" s="16"/>
      <c r="U441" s="16"/>
    </row>
    <row r="442" spans="1:21" ht="14.25" customHeight="1">
      <c r="A442" s="14"/>
      <c r="C442" s="15"/>
      <c r="J442" s="16"/>
      <c r="L442" s="16"/>
      <c r="P442" s="16"/>
      <c r="U442" s="16"/>
    </row>
    <row r="443" spans="1:21" ht="14.25" customHeight="1">
      <c r="A443" s="14"/>
      <c r="C443" s="15"/>
      <c r="J443" s="16"/>
      <c r="L443" s="16"/>
      <c r="P443" s="16"/>
      <c r="U443" s="16"/>
    </row>
    <row r="444" spans="1:21" ht="14.25" customHeight="1">
      <c r="A444" s="14"/>
      <c r="C444" s="15"/>
      <c r="J444" s="16"/>
      <c r="L444" s="16"/>
      <c r="P444" s="16"/>
      <c r="U444" s="16"/>
    </row>
    <row r="445" spans="1:21" ht="14.25" customHeight="1">
      <c r="A445" s="14"/>
      <c r="C445" s="15"/>
      <c r="J445" s="16"/>
      <c r="L445" s="16"/>
      <c r="P445" s="16"/>
      <c r="U445" s="16"/>
    </row>
    <row r="446" spans="1:21" ht="14.25" customHeight="1">
      <c r="A446" s="14"/>
      <c r="C446" s="15"/>
      <c r="J446" s="16"/>
      <c r="L446" s="16"/>
      <c r="P446" s="16"/>
      <c r="U446" s="16"/>
    </row>
    <row r="447" spans="1:21" ht="14.25" customHeight="1">
      <c r="A447" s="14"/>
      <c r="C447" s="15"/>
      <c r="J447" s="16"/>
      <c r="L447" s="16"/>
      <c r="P447" s="16"/>
      <c r="U447" s="16"/>
    </row>
    <row r="448" spans="1:21" ht="14.25" customHeight="1">
      <c r="A448" s="14"/>
      <c r="C448" s="15"/>
      <c r="J448" s="16"/>
      <c r="L448" s="16"/>
      <c r="P448" s="16"/>
      <c r="U448" s="16"/>
    </row>
    <row r="449" spans="1:21" ht="14.25" customHeight="1">
      <c r="A449" s="14"/>
      <c r="C449" s="15"/>
      <c r="J449" s="16"/>
      <c r="L449" s="16"/>
      <c r="P449" s="16"/>
      <c r="U449" s="16"/>
    </row>
    <row r="450" spans="1:21" ht="14.25" customHeight="1">
      <c r="A450" s="14"/>
      <c r="C450" s="15"/>
      <c r="J450" s="16"/>
      <c r="L450" s="16"/>
      <c r="P450" s="16"/>
      <c r="U450" s="16"/>
    </row>
    <row r="451" spans="1:21" ht="14.25" customHeight="1">
      <c r="A451" s="14"/>
      <c r="C451" s="15"/>
      <c r="J451" s="16"/>
      <c r="L451" s="16"/>
      <c r="P451" s="16"/>
      <c r="U451" s="16"/>
    </row>
    <row r="452" spans="1:21" ht="14.25" customHeight="1">
      <c r="A452" s="14"/>
      <c r="C452" s="15"/>
      <c r="J452" s="16"/>
      <c r="L452" s="16"/>
      <c r="P452" s="16"/>
      <c r="U452" s="16"/>
    </row>
    <row r="453" spans="1:21" ht="14.25" customHeight="1">
      <c r="A453" s="14"/>
      <c r="C453" s="15"/>
      <c r="J453" s="16"/>
      <c r="L453" s="16"/>
      <c r="P453" s="16"/>
      <c r="U453" s="16"/>
    </row>
    <row r="454" spans="1:21" ht="14.25" customHeight="1">
      <c r="A454" s="14"/>
      <c r="C454" s="15"/>
      <c r="J454" s="16"/>
      <c r="L454" s="16"/>
      <c r="P454" s="16"/>
      <c r="U454" s="16"/>
    </row>
    <row r="455" spans="1:21" ht="14.25" customHeight="1">
      <c r="A455" s="14"/>
      <c r="C455" s="15"/>
      <c r="J455" s="16"/>
      <c r="L455" s="16"/>
      <c r="P455" s="16"/>
      <c r="U455" s="16"/>
    </row>
    <row r="456" spans="1:21" ht="14.25" customHeight="1">
      <c r="A456" s="14"/>
      <c r="C456" s="15"/>
      <c r="J456" s="16"/>
      <c r="L456" s="16"/>
      <c r="P456" s="16"/>
      <c r="U456" s="16"/>
    </row>
    <row r="457" spans="1:21" ht="14.25" customHeight="1">
      <c r="A457" s="14"/>
      <c r="C457" s="15"/>
      <c r="J457" s="16"/>
      <c r="L457" s="16"/>
      <c r="P457" s="16"/>
      <c r="U457" s="16"/>
    </row>
    <row r="458" spans="1:21" ht="14.25" customHeight="1">
      <c r="A458" s="14"/>
      <c r="C458" s="15"/>
      <c r="J458" s="16"/>
      <c r="L458" s="16"/>
      <c r="P458" s="16"/>
      <c r="U458" s="16"/>
    </row>
    <row r="459" spans="1:21" ht="14.25" customHeight="1">
      <c r="A459" s="14"/>
      <c r="C459" s="15"/>
      <c r="J459" s="16"/>
      <c r="L459" s="16"/>
      <c r="P459" s="16"/>
      <c r="U459" s="16"/>
    </row>
    <row r="460" spans="1:21" ht="14.25" customHeight="1">
      <c r="A460" s="14"/>
      <c r="C460" s="15"/>
      <c r="J460" s="16"/>
      <c r="L460" s="16"/>
      <c r="P460" s="16"/>
      <c r="U460" s="16"/>
    </row>
    <row r="461" spans="1:21" ht="14.25" customHeight="1">
      <c r="A461" s="14"/>
      <c r="C461" s="15"/>
      <c r="J461" s="16"/>
      <c r="L461" s="16"/>
      <c r="P461" s="16"/>
      <c r="U461" s="16"/>
    </row>
    <row r="462" spans="1:21" ht="14.25" customHeight="1">
      <c r="A462" s="14"/>
      <c r="C462" s="15"/>
      <c r="J462" s="16"/>
      <c r="L462" s="16"/>
      <c r="P462" s="16"/>
      <c r="U462" s="16"/>
    </row>
    <row r="463" spans="1:21" ht="14.25" customHeight="1">
      <c r="A463" s="14"/>
      <c r="C463" s="15"/>
      <c r="J463" s="16"/>
      <c r="L463" s="16"/>
      <c r="P463" s="16"/>
      <c r="U463" s="16"/>
    </row>
    <row r="464" spans="1:21" ht="14.25" customHeight="1">
      <c r="A464" s="14"/>
      <c r="C464" s="15"/>
      <c r="J464" s="16"/>
      <c r="L464" s="16"/>
      <c r="P464" s="16"/>
      <c r="U464" s="16"/>
    </row>
    <row r="465" spans="1:21" ht="14.25" customHeight="1">
      <c r="A465" s="14"/>
      <c r="C465" s="15"/>
      <c r="J465" s="16"/>
      <c r="L465" s="16"/>
      <c r="P465" s="16"/>
      <c r="U465" s="16"/>
    </row>
    <row r="466" spans="1:21" ht="14.25" customHeight="1">
      <c r="A466" s="14"/>
      <c r="C466" s="15"/>
      <c r="J466" s="16"/>
      <c r="L466" s="16"/>
      <c r="P466" s="16"/>
      <c r="U466" s="16"/>
    </row>
    <row r="467" spans="1:21" ht="14.25" customHeight="1">
      <c r="A467" s="14"/>
      <c r="C467" s="15"/>
      <c r="J467" s="16"/>
      <c r="L467" s="16"/>
      <c r="P467" s="16"/>
      <c r="U467" s="16"/>
    </row>
    <row r="468" spans="1:21" ht="14.25" customHeight="1">
      <c r="A468" s="14"/>
      <c r="C468" s="15"/>
      <c r="J468" s="16"/>
      <c r="L468" s="16"/>
      <c r="P468" s="16"/>
      <c r="U468" s="16"/>
    </row>
    <row r="469" spans="1:21" ht="14.25" customHeight="1">
      <c r="A469" s="14"/>
      <c r="C469" s="15"/>
      <c r="J469" s="16"/>
      <c r="L469" s="16"/>
      <c r="P469" s="16"/>
      <c r="U469" s="16"/>
    </row>
    <row r="470" spans="1:21" ht="14.25" customHeight="1">
      <c r="A470" s="14"/>
      <c r="C470" s="15"/>
      <c r="J470" s="16"/>
      <c r="L470" s="16"/>
      <c r="P470" s="16"/>
      <c r="U470" s="16"/>
    </row>
    <row r="471" spans="1:21" ht="14.25" customHeight="1">
      <c r="A471" s="14"/>
      <c r="C471" s="15"/>
      <c r="J471" s="16"/>
      <c r="L471" s="16"/>
      <c r="P471" s="16"/>
      <c r="U471" s="16"/>
    </row>
    <row r="472" spans="1:21" ht="14.25" customHeight="1">
      <c r="A472" s="14"/>
      <c r="C472" s="15"/>
      <c r="J472" s="16"/>
      <c r="L472" s="16"/>
      <c r="P472" s="16"/>
      <c r="U472" s="16"/>
    </row>
    <row r="473" spans="1:21" ht="14.25" customHeight="1">
      <c r="A473" s="14"/>
      <c r="C473" s="15"/>
      <c r="J473" s="16"/>
      <c r="L473" s="16"/>
      <c r="P473" s="16"/>
      <c r="U473" s="16"/>
    </row>
    <row r="474" spans="1:21" ht="14.25" customHeight="1">
      <c r="A474" s="14"/>
      <c r="C474" s="15"/>
      <c r="J474" s="16"/>
      <c r="L474" s="16"/>
      <c r="P474" s="16"/>
      <c r="U474" s="16"/>
    </row>
    <row r="475" spans="1:21" ht="14.25" customHeight="1">
      <c r="A475" s="14"/>
      <c r="C475" s="15"/>
      <c r="J475" s="16"/>
      <c r="L475" s="16"/>
      <c r="P475" s="16"/>
      <c r="U475" s="16"/>
    </row>
    <row r="476" spans="1:21" ht="14.25" customHeight="1">
      <c r="A476" s="14"/>
      <c r="C476" s="15"/>
      <c r="J476" s="16"/>
      <c r="L476" s="16"/>
      <c r="P476" s="16"/>
      <c r="U476" s="16"/>
    </row>
    <row r="477" spans="1:21" ht="14.25" customHeight="1">
      <c r="A477" s="14"/>
      <c r="C477" s="15"/>
      <c r="J477" s="16"/>
      <c r="L477" s="16"/>
      <c r="P477" s="16"/>
      <c r="U477" s="16"/>
    </row>
    <row r="478" spans="1:21" ht="14.25" customHeight="1">
      <c r="A478" s="14"/>
      <c r="C478" s="15"/>
      <c r="J478" s="16"/>
      <c r="L478" s="16"/>
      <c r="P478" s="16"/>
      <c r="U478" s="16"/>
    </row>
    <row r="479" spans="1:21" ht="14.25" customHeight="1">
      <c r="A479" s="14"/>
      <c r="C479" s="15"/>
      <c r="J479" s="16"/>
      <c r="L479" s="16"/>
      <c r="P479" s="16"/>
      <c r="U479" s="16"/>
    </row>
    <row r="480" spans="1:21" ht="14.25" customHeight="1">
      <c r="A480" s="14"/>
      <c r="C480" s="15"/>
      <c r="J480" s="16"/>
      <c r="L480" s="16"/>
      <c r="P480" s="16"/>
      <c r="U480" s="16"/>
    </row>
    <row r="481" spans="1:21" ht="14.25" customHeight="1">
      <c r="A481" s="14"/>
      <c r="C481" s="15"/>
      <c r="J481" s="16"/>
      <c r="L481" s="16"/>
      <c r="P481" s="16"/>
      <c r="U481" s="16"/>
    </row>
    <row r="482" spans="1:21" ht="14.25" customHeight="1">
      <c r="A482" s="14"/>
      <c r="C482" s="15"/>
      <c r="J482" s="16"/>
      <c r="L482" s="16"/>
      <c r="P482" s="16"/>
      <c r="U482" s="16"/>
    </row>
    <row r="483" spans="1:21" ht="14.25" customHeight="1">
      <c r="A483" s="14"/>
      <c r="C483" s="15"/>
      <c r="J483" s="16"/>
      <c r="L483" s="16"/>
      <c r="P483" s="16"/>
      <c r="U483" s="16"/>
    </row>
    <row r="484" spans="1:21" ht="14.25" customHeight="1">
      <c r="A484" s="14"/>
      <c r="C484" s="15"/>
      <c r="J484" s="16"/>
      <c r="L484" s="16"/>
      <c r="P484" s="16"/>
      <c r="U484" s="16"/>
    </row>
    <row r="485" spans="1:21" ht="14.25" customHeight="1">
      <c r="A485" s="14"/>
      <c r="C485" s="15"/>
      <c r="J485" s="16"/>
      <c r="L485" s="16"/>
      <c r="P485" s="16"/>
      <c r="U485" s="16"/>
    </row>
    <row r="486" spans="1:21" ht="14.25" customHeight="1">
      <c r="A486" s="14"/>
      <c r="C486" s="15"/>
      <c r="J486" s="16"/>
      <c r="L486" s="16"/>
      <c r="P486" s="16"/>
      <c r="U486" s="16"/>
    </row>
    <row r="487" spans="1:21" ht="14.25" customHeight="1">
      <c r="A487" s="14"/>
      <c r="C487" s="15"/>
      <c r="J487" s="16"/>
      <c r="L487" s="16"/>
      <c r="P487" s="16"/>
      <c r="U487" s="16"/>
    </row>
    <row r="488" spans="1:21" ht="14.25" customHeight="1">
      <c r="A488" s="14"/>
      <c r="C488" s="15"/>
      <c r="J488" s="16"/>
      <c r="L488" s="16"/>
      <c r="P488" s="16"/>
      <c r="U488" s="16"/>
    </row>
    <row r="489" spans="1:21" ht="14.25" customHeight="1">
      <c r="A489" s="14"/>
      <c r="C489" s="15"/>
      <c r="J489" s="16"/>
      <c r="L489" s="16"/>
      <c r="P489" s="16"/>
      <c r="U489" s="16"/>
    </row>
    <row r="490" spans="1:21" ht="14.25" customHeight="1">
      <c r="A490" s="14"/>
      <c r="C490" s="15"/>
      <c r="J490" s="16"/>
      <c r="L490" s="16"/>
      <c r="P490" s="16"/>
      <c r="U490" s="16"/>
    </row>
    <row r="491" spans="1:21" ht="14.25" customHeight="1">
      <c r="A491" s="14"/>
      <c r="C491" s="15"/>
      <c r="J491" s="16"/>
      <c r="L491" s="16"/>
      <c r="P491" s="16"/>
      <c r="U491" s="16"/>
    </row>
    <row r="492" spans="1:21" ht="14.25" customHeight="1">
      <c r="A492" s="14"/>
      <c r="C492" s="15"/>
      <c r="J492" s="16"/>
      <c r="L492" s="16"/>
      <c r="P492" s="16"/>
      <c r="U492" s="16"/>
    </row>
    <row r="493" spans="1:21" ht="14.25" customHeight="1">
      <c r="A493" s="14"/>
      <c r="C493" s="15"/>
      <c r="J493" s="16"/>
      <c r="L493" s="16"/>
      <c r="P493" s="16"/>
      <c r="U493" s="16"/>
    </row>
    <row r="494" spans="1:21" ht="14.25" customHeight="1">
      <c r="A494" s="14"/>
      <c r="C494" s="15"/>
      <c r="J494" s="16"/>
      <c r="L494" s="16"/>
      <c r="P494" s="16"/>
      <c r="U494" s="16"/>
    </row>
    <row r="495" spans="1:21" ht="14.25" customHeight="1">
      <c r="A495" s="14"/>
      <c r="C495" s="15"/>
      <c r="J495" s="16"/>
      <c r="L495" s="16"/>
      <c r="P495" s="16"/>
      <c r="U495" s="16"/>
    </row>
    <row r="496" spans="1:21" ht="14.25" customHeight="1">
      <c r="A496" s="14"/>
      <c r="C496" s="15"/>
      <c r="J496" s="16"/>
      <c r="L496" s="16"/>
      <c r="P496" s="16"/>
      <c r="U496" s="16"/>
    </row>
    <row r="497" spans="1:21" ht="14.25" customHeight="1">
      <c r="A497" s="14"/>
      <c r="C497" s="15"/>
      <c r="J497" s="16"/>
      <c r="L497" s="16"/>
      <c r="P497" s="16"/>
      <c r="U497" s="16"/>
    </row>
    <row r="498" spans="1:21" ht="14.25" customHeight="1">
      <c r="A498" s="14"/>
      <c r="C498" s="15"/>
      <c r="J498" s="16"/>
      <c r="L498" s="16"/>
      <c r="P498" s="16"/>
      <c r="U498" s="16"/>
    </row>
    <row r="499" spans="1:21" ht="14.25" customHeight="1">
      <c r="A499" s="14"/>
      <c r="C499" s="15"/>
      <c r="J499" s="16"/>
      <c r="L499" s="16"/>
      <c r="P499" s="16"/>
      <c r="U499" s="16"/>
    </row>
    <row r="500" spans="1:21" ht="14.25" customHeight="1">
      <c r="A500" s="14"/>
      <c r="C500" s="15"/>
      <c r="J500" s="16"/>
      <c r="L500" s="16"/>
      <c r="P500" s="16"/>
      <c r="U500" s="16"/>
    </row>
    <row r="501" spans="1:21" ht="14.25" customHeight="1">
      <c r="A501" s="14"/>
      <c r="C501" s="15"/>
      <c r="J501" s="16"/>
      <c r="L501" s="16"/>
      <c r="P501" s="16"/>
      <c r="U501" s="16"/>
    </row>
    <row r="502" spans="1:21" ht="14.25" customHeight="1">
      <c r="A502" s="14"/>
      <c r="C502" s="15"/>
      <c r="J502" s="16"/>
      <c r="L502" s="16"/>
      <c r="P502" s="16"/>
      <c r="U502" s="16"/>
    </row>
    <row r="503" spans="1:21" ht="14.25" customHeight="1">
      <c r="A503" s="14"/>
      <c r="C503" s="15"/>
      <c r="J503" s="16"/>
      <c r="L503" s="16"/>
      <c r="P503" s="16"/>
      <c r="U503" s="16"/>
    </row>
    <row r="504" spans="1:21" ht="14.25" customHeight="1">
      <c r="A504" s="14"/>
      <c r="C504" s="15"/>
      <c r="J504" s="16"/>
      <c r="L504" s="16"/>
      <c r="P504" s="16"/>
      <c r="U504" s="16"/>
    </row>
    <row r="505" spans="1:21" ht="14.25" customHeight="1">
      <c r="A505" s="14"/>
      <c r="C505" s="15"/>
      <c r="J505" s="16"/>
      <c r="L505" s="16"/>
      <c r="P505" s="16"/>
      <c r="U505" s="16"/>
    </row>
    <row r="506" spans="1:21" ht="14.25" customHeight="1">
      <c r="A506" s="14"/>
      <c r="C506" s="15"/>
      <c r="J506" s="16"/>
      <c r="L506" s="16"/>
      <c r="P506" s="16"/>
      <c r="U506" s="16"/>
    </row>
    <row r="507" spans="1:21" ht="14.25" customHeight="1">
      <c r="A507" s="14"/>
      <c r="C507" s="15"/>
      <c r="J507" s="16"/>
      <c r="L507" s="16"/>
      <c r="P507" s="16"/>
      <c r="U507" s="16"/>
    </row>
    <row r="508" spans="1:21" ht="14.25" customHeight="1">
      <c r="A508" s="14"/>
      <c r="C508" s="15"/>
      <c r="J508" s="16"/>
      <c r="L508" s="16"/>
      <c r="P508" s="16"/>
      <c r="U508" s="16"/>
    </row>
    <row r="509" spans="1:21" ht="14.25" customHeight="1">
      <c r="A509" s="14"/>
      <c r="C509" s="15"/>
      <c r="J509" s="16"/>
      <c r="L509" s="16"/>
      <c r="P509" s="16"/>
      <c r="U509" s="16"/>
    </row>
    <row r="510" spans="1:21" ht="14.25" customHeight="1">
      <c r="A510" s="14"/>
      <c r="C510" s="15"/>
      <c r="J510" s="16"/>
      <c r="L510" s="16"/>
      <c r="P510" s="16"/>
      <c r="U510" s="16"/>
    </row>
    <row r="511" spans="1:21" ht="14.25" customHeight="1">
      <c r="A511" s="14"/>
      <c r="C511" s="15"/>
      <c r="J511" s="16"/>
      <c r="L511" s="16"/>
      <c r="P511" s="16"/>
      <c r="U511" s="16"/>
    </row>
    <row r="512" spans="1:21" ht="14.25" customHeight="1">
      <c r="A512" s="14"/>
      <c r="C512" s="15"/>
      <c r="J512" s="16"/>
      <c r="L512" s="16"/>
      <c r="P512" s="16"/>
      <c r="U512" s="16"/>
    </row>
    <row r="513" spans="1:21" ht="14.25" customHeight="1">
      <c r="A513" s="14"/>
      <c r="C513" s="15"/>
      <c r="J513" s="16"/>
      <c r="L513" s="16"/>
      <c r="P513" s="16"/>
      <c r="U513" s="16"/>
    </row>
    <row r="514" spans="1:21" ht="14.25" customHeight="1">
      <c r="A514" s="14"/>
      <c r="C514" s="15"/>
      <c r="J514" s="16"/>
      <c r="L514" s="16"/>
      <c r="P514" s="16"/>
      <c r="U514" s="16"/>
    </row>
    <row r="515" spans="1:21" ht="14.25" customHeight="1">
      <c r="A515" s="14"/>
      <c r="C515" s="15"/>
      <c r="J515" s="16"/>
      <c r="L515" s="16"/>
      <c r="P515" s="16"/>
      <c r="U515" s="16"/>
    </row>
    <row r="516" spans="1:21" ht="14.25" customHeight="1">
      <c r="A516" s="14"/>
      <c r="C516" s="15"/>
      <c r="J516" s="16"/>
      <c r="L516" s="16"/>
      <c r="P516" s="16"/>
      <c r="U516" s="16"/>
    </row>
    <row r="517" spans="1:21" ht="14.25" customHeight="1">
      <c r="A517" s="14"/>
      <c r="C517" s="15"/>
      <c r="J517" s="16"/>
      <c r="L517" s="16"/>
      <c r="P517" s="16"/>
      <c r="U517" s="16"/>
    </row>
    <row r="518" spans="1:21" ht="14.25" customHeight="1">
      <c r="A518" s="14"/>
      <c r="C518" s="15"/>
      <c r="J518" s="16"/>
      <c r="L518" s="16"/>
      <c r="P518" s="16"/>
      <c r="U518" s="16"/>
    </row>
    <row r="519" spans="1:21" ht="14.25" customHeight="1">
      <c r="A519" s="14"/>
      <c r="C519" s="15"/>
      <c r="J519" s="16"/>
      <c r="L519" s="16"/>
      <c r="P519" s="16"/>
      <c r="U519" s="16"/>
    </row>
    <row r="520" spans="1:21" ht="14.25" customHeight="1">
      <c r="A520" s="14"/>
      <c r="C520" s="15"/>
      <c r="J520" s="16"/>
      <c r="L520" s="16"/>
      <c r="P520" s="16"/>
      <c r="U520" s="16"/>
    </row>
    <row r="521" spans="1:21" ht="14.25" customHeight="1">
      <c r="A521" s="14"/>
      <c r="C521" s="15"/>
      <c r="J521" s="16"/>
      <c r="L521" s="16"/>
      <c r="P521" s="16"/>
      <c r="U521" s="16"/>
    </row>
    <row r="522" spans="1:21" ht="14.25" customHeight="1">
      <c r="A522" s="14"/>
      <c r="C522" s="15"/>
      <c r="J522" s="16"/>
      <c r="L522" s="16"/>
      <c r="P522" s="16"/>
      <c r="U522" s="16"/>
    </row>
    <row r="523" spans="1:21" ht="14.25" customHeight="1">
      <c r="A523" s="14"/>
      <c r="C523" s="15"/>
      <c r="J523" s="16"/>
      <c r="L523" s="16"/>
      <c r="P523" s="16"/>
      <c r="U523" s="16"/>
    </row>
    <row r="524" spans="1:21" ht="14.25" customHeight="1">
      <c r="A524" s="14"/>
      <c r="C524" s="15"/>
      <c r="J524" s="16"/>
      <c r="L524" s="16"/>
      <c r="P524" s="16"/>
      <c r="U524" s="16"/>
    </row>
    <row r="525" spans="1:21" ht="14.25" customHeight="1">
      <c r="A525" s="14"/>
      <c r="C525" s="15"/>
      <c r="J525" s="16"/>
      <c r="L525" s="16"/>
      <c r="P525" s="16"/>
      <c r="U525" s="16"/>
    </row>
    <row r="526" spans="1:21" ht="14.25" customHeight="1">
      <c r="A526" s="14"/>
      <c r="C526" s="15"/>
      <c r="J526" s="16"/>
      <c r="L526" s="16"/>
      <c r="P526" s="16"/>
      <c r="U526" s="16"/>
    </row>
    <row r="527" spans="1:21" ht="14.25" customHeight="1">
      <c r="A527" s="14"/>
      <c r="C527" s="15"/>
      <c r="J527" s="16"/>
      <c r="L527" s="16"/>
      <c r="P527" s="16"/>
      <c r="U527" s="16"/>
    </row>
    <row r="528" spans="1:21" ht="14.25" customHeight="1">
      <c r="A528" s="14"/>
      <c r="C528" s="15"/>
      <c r="J528" s="16"/>
      <c r="L528" s="16"/>
      <c r="P528" s="16"/>
      <c r="U528" s="16"/>
    </row>
    <row r="529" spans="1:21" ht="14.25" customHeight="1">
      <c r="A529" s="14"/>
      <c r="C529" s="15"/>
      <c r="J529" s="16"/>
      <c r="L529" s="16"/>
      <c r="P529" s="16"/>
      <c r="U529" s="16"/>
    </row>
    <row r="530" spans="1:21" ht="14.25" customHeight="1">
      <c r="A530" s="14"/>
      <c r="C530" s="15"/>
      <c r="J530" s="16"/>
      <c r="L530" s="16"/>
      <c r="P530" s="16"/>
      <c r="U530" s="16"/>
    </row>
    <row r="531" spans="1:21" ht="14.25" customHeight="1">
      <c r="A531" s="14"/>
      <c r="C531" s="15"/>
      <c r="J531" s="16"/>
      <c r="L531" s="16"/>
      <c r="P531" s="16"/>
      <c r="U531" s="16"/>
    </row>
    <row r="532" spans="1:21" ht="14.25" customHeight="1">
      <c r="A532" s="14"/>
      <c r="C532" s="15"/>
      <c r="J532" s="16"/>
      <c r="L532" s="16"/>
      <c r="P532" s="16"/>
      <c r="U532" s="16"/>
    </row>
    <row r="533" spans="1:21" ht="14.25" customHeight="1">
      <c r="A533" s="14"/>
      <c r="C533" s="15"/>
      <c r="J533" s="16"/>
      <c r="L533" s="16"/>
      <c r="P533" s="16"/>
      <c r="U533" s="16"/>
    </row>
    <row r="534" spans="1:21" ht="14.25" customHeight="1">
      <c r="A534" s="14"/>
      <c r="C534" s="15"/>
      <c r="J534" s="16"/>
      <c r="L534" s="16"/>
      <c r="P534" s="16"/>
      <c r="U534" s="16"/>
    </row>
    <row r="535" spans="1:21" ht="14.25" customHeight="1">
      <c r="A535" s="14"/>
      <c r="C535" s="15"/>
      <c r="J535" s="16"/>
      <c r="L535" s="16"/>
      <c r="P535" s="16"/>
      <c r="U535" s="16"/>
    </row>
    <row r="536" spans="1:21" ht="14.25" customHeight="1">
      <c r="A536" s="14"/>
      <c r="C536" s="15"/>
      <c r="J536" s="16"/>
      <c r="L536" s="16"/>
      <c r="P536" s="16"/>
      <c r="U536" s="16"/>
    </row>
    <row r="537" spans="1:21" ht="14.25" customHeight="1">
      <c r="A537" s="14"/>
      <c r="C537" s="15"/>
      <c r="J537" s="16"/>
      <c r="L537" s="16"/>
      <c r="P537" s="16"/>
      <c r="U537" s="16"/>
    </row>
    <row r="538" spans="1:21" ht="14.25" customHeight="1">
      <c r="A538" s="14"/>
      <c r="C538" s="15"/>
      <c r="J538" s="16"/>
      <c r="L538" s="16"/>
      <c r="P538" s="16"/>
      <c r="U538" s="16"/>
    </row>
    <row r="539" spans="1:21" ht="14.25" customHeight="1">
      <c r="A539" s="14"/>
      <c r="C539" s="15"/>
      <c r="J539" s="16"/>
      <c r="L539" s="16"/>
      <c r="P539" s="16"/>
      <c r="U539" s="16"/>
    </row>
    <row r="540" spans="1:21" ht="14.25" customHeight="1">
      <c r="A540" s="14"/>
      <c r="C540" s="15"/>
      <c r="J540" s="16"/>
      <c r="L540" s="16"/>
      <c r="P540" s="16"/>
      <c r="U540" s="16"/>
    </row>
    <row r="541" spans="1:21" ht="14.25" customHeight="1">
      <c r="A541" s="14"/>
      <c r="C541" s="15"/>
      <c r="J541" s="16"/>
      <c r="L541" s="16"/>
      <c r="P541" s="16"/>
      <c r="U541" s="16"/>
    </row>
    <row r="542" spans="1:21" ht="14.25" customHeight="1">
      <c r="A542" s="14"/>
      <c r="C542" s="15"/>
      <c r="J542" s="16"/>
      <c r="L542" s="16"/>
      <c r="P542" s="16"/>
      <c r="U542" s="16"/>
    </row>
    <row r="543" spans="1:21" ht="14.25" customHeight="1">
      <c r="A543" s="14"/>
      <c r="C543" s="15"/>
      <c r="J543" s="16"/>
      <c r="L543" s="16"/>
      <c r="P543" s="16"/>
      <c r="U543" s="16"/>
    </row>
    <row r="544" spans="1:21" ht="14.25" customHeight="1">
      <c r="A544" s="14"/>
      <c r="C544" s="15"/>
      <c r="J544" s="16"/>
      <c r="L544" s="16"/>
      <c r="P544" s="16"/>
      <c r="U544" s="16"/>
    </row>
    <row r="545" spans="1:21" ht="14.25" customHeight="1">
      <c r="A545" s="14"/>
      <c r="C545" s="15"/>
      <c r="J545" s="16"/>
      <c r="L545" s="16"/>
      <c r="P545" s="16"/>
      <c r="U545" s="16"/>
    </row>
    <row r="546" spans="1:21" ht="14.25" customHeight="1">
      <c r="A546" s="14"/>
      <c r="C546" s="15"/>
      <c r="J546" s="16"/>
      <c r="L546" s="16"/>
      <c r="P546" s="16"/>
      <c r="U546" s="16"/>
    </row>
    <row r="547" spans="1:21" ht="14.25" customHeight="1">
      <c r="A547" s="14"/>
      <c r="C547" s="15"/>
      <c r="J547" s="16"/>
      <c r="L547" s="16"/>
      <c r="P547" s="16"/>
      <c r="U547" s="16"/>
    </row>
    <row r="548" spans="1:21" ht="14.25" customHeight="1">
      <c r="A548" s="14"/>
      <c r="C548" s="15"/>
      <c r="J548" s="16"/>
      <c r="L548" s="16"/>
      <c r="P548" s="16"/>
      <c r="U548" s="16"/>
    </row>
    <row r="549" spans="1:21" ht="14.25" customHeight="1">
      <c r="A549" s="14"/>
      <c r="C549" s="15"/>
      <c r="J549" s="16"/>
      <c r="L549" s="16"/>
      <c r="P549" s="16"/>
      <c r="U549" s="16"/>
    </row>
    <row r="550" spans="1:21" ht="14.25" customHeight="1">
      <c r="A550" s="14"/>
      <c r="C550" s="15"/>
      <c r="J550" s="16"/>
      <c r="L550" s="16"/>
      <c r="P550" s="16"/>
      <c r="U550" s="16"/>
    </row>
    <row r="551" spans="1:21" ht="14.25" customHeight="1">
      <c r="A551" s="14"/>
      <c r="C551" s="15"/>
      <c r="J551" s="16"/>
      <c r="L551" s="16"/>
      <c r="P551" s="16"/>
      <c r="U551" s="16"/>
    </row>
    <row r="552" spans="1:21" ht="14.25" customHeight="1">
      <c r="A552" s="14"/>
      <c r="C552" s="15"/>
      <c r="J552" s="16"/>
      <c r="L552" s="16"/>
      <c r="P552" s="16"/>
      <c r="U552" s="16"/>
    </row>
    <row r="553" spans="1:21" ht="14.25" customHeight="1">
      <c r="A553" s="14"/>
      <c r="C553" s="15"/>
      <c r="J553" s="16"/>
      <c r="L553" s="16"/>
      <c r="P553" s="16"/>
      <c r="U553" s="16"/>
    </row>
    <row r="554" spans="1:21" ht="14.25" customHeight="1">
      <c r="A554" s="14"/>
      <c r="C554" s="15"/>
      <c r="J554" s="16"/>
      <c r="L554" s="16"/>
      <c r="P554" s="16"/>
      <c r="U554" s="16"/>
    </row>
    <row r="555" spans="1:21" ht="14.25" customHeight="1">
      <c r="A555" s="14"/>
      <c r="C555" s="15"/>
      <c r="J555" s="16"/>
      <c r="L555" s="16"/>
      <c r="P555" s="16"/>
      <c r="U555" s="16"/>
    </row>
    <row r="556" spans="1:21" ht="14.25" customHeight="1">
      <c r="A556" s="14"/>
      <c r="C556" s="15"/>
      <c r="J556" s="16"/>
      <c r="L556" s="16"/>
      <c r="P556" s="16"/>
      <c r="U556" s="16"/>
    </row>
    <row r="557" spans="1:21" ht="14.25" customHeight="1">
      <c r="A557" s="14"/>
      <c r="C557" s="15"/>
      <c r="J557" s="16"/>
      <c r="L557" s="16"/>
      <c r="P557" s="16"/>
      <c r="U557" s="16"/>
    </row>
    <row r="558" spans="1:21" ht="14.25" customHeight="1">
      <c r="A558" s="14"/>
      <c r="C558" s="15"/>
      <c r="J558" s="16"/>
      <c r="L558" s="16"/>
      <c r="P558" s="16"/>
      <c r="U558" s="16"/>
    </row>
    <row r="559" spans="1:21" ht="14.25" customHeight="1">
      <c r="A559" s="14"/>
      <c r="C559" s="15"/>
      <c r="J559" s="16"/>
      <c r="L559" s="16"/>
      <c r="P559" s="16"/>
      <c r="U559" s="16"/>
    </row>
    <row r="560" spans="1:21" ht="14.25" customHeight="1">
      <c r="A560" s="14"/>
      <c r="C560" s="15"/>
      <c r="J560" s="16"/>
      <c r="L560" s="16"/>
      <c r="P560" s="16"/>
      <c r="U560" s="16"/>
    </row>
    <row r="561" spans="1:21" ht="14.25" customHeight="1">
      <c r="A561" s="14"/>
      <c r="C561" s="15"/>
      <c r="J561" s="16"/>
      <c r="L561" s="16"/>
      <c r="P561" s="16"/>
      <c r="U561" s="16"/>
    </row>
    <row r="562" spans="1:21" ht="14.25" customHeight="1">
      <c r="A562" s="14"/>
      <c r="C562" s="15"/>
      <c r="J562" s="16"/>
      <c r="L562" s="16"/>
      <c r="P562" s="16"/>
      <c r="U562" s="16"/>
    </row>
    <row r="563" spans="1:21" ht="14.25" customHeight="1">
      <c r="A563" s="14"/>
      <c r="C563" s="15"/>
      <c r="J563" s="16"/>
      <c r="L563" s="16"/>
      <c r="P563" s="16"/>
      <c r="U563" s="16"/>
    </row>
    <row r="564" spans="1:21" ht="14.25" customHeight="1">
      <c r="A564" s="14"/>
      <c r="C564" s="15"/>
      <c r="J564" s="16"/>
      <c r="L564" s="16"/>
      <c r="P564" s="16"/>
      <c r="U564" s="16"/>
    </row>
    <row r="565" spans="1:21" ht="14.25" customHeight="1">
      <c r="A565" s="14"/>
      <c r="C565" s="15"/>
      <c r="J565" s="16"/>
      <c r="L565" s="16"/>
      <c r="P565" s="16"/>
      <c r="U565" s="16"/>
    </row>
    <row r="566" spans="1:21" ht="14.25" customHeight="1">
      <c r="A566" s="14"/>
      <c r="C566" s="15"/>
      <c r="J566" s="16"/>
      <c r="L566" s="16"/>
      <c r="P566" s="16"/>
      <c r="U566" s="16"/>
    </row>
    <row r="567" spans="1:21" ht="14.25" customHeight="1">
      <c r="A567" s="14"/>
      <c r="C567" s="15"/>
      <c r="J567" s="16"/>
      <c r="L567" s="16"/>
      <c r="P567" s="16"/>
      <c r="U567" s="16"/>
    </row>
    <row r="568" spans="1:21" ht="14.25" customHeight="1">
      <c r="A568" s="14"/>
      <c r="C568" s="15"/>
      <c r="J568" s="16"/>
      <c r="L568" s="16"/>
      <c r="P568" s="16"/>
      <c r="U568" s="16"/>
    </row>
    <row r="569" spans="1:21" ht="14.25" customHeight="1">
      <c r="A569" s="14"/>
      <c r="C569" s="15"/>
      <c r="J569" s="16"/>
      <c r="L569" s="16"/>
      <c r="P569" s="16"/>
      <c r="U569" s="16"/>
    </row>
    <row r="570" spans="1:21" ht="14.25" customHeight="1">
      <c r="A570" s="14"/>
      <c r="C570" s="15"/>
      <c r="J570" s="16"/>
      <c r="L570" s="16"/>
      <c r="P570" s="16"/>
      <c r="U570" s="16"/>
    </row>
    <row r="571" spans="1:21" ht="14.25" customHeight="1">
      <c r="A571" s="14"/>
      <c r="C571" s="15"/>
      <c r="J571" s="16"/>
      <c r="L571" s="16"/>
      <c r="P571" s="16"/>
      <c r="U571" s="16"/>
    </row>
    <row r="572" spans="1:21" ht="14.25" customHeight="1">
      <c r="A572" s="14"/>
      <c r="C572" s="15"/>
      <c r="J572" s="16"/>
      <c r="L572" s="16"/>
      <c r="P572" s="16"/>
      <c r="U572" s="16"/>
    </row>
    <row r="573" spans="1:21" ht="14.25" customHeight="1">
      <c r="A573" s="14"/>
      <c r="C573" s="15"/>
      <c r="J573" s="16"/>
      <c r="L573" s="16"/>
      <c r="P573" s="16"/>
      <c r="U573" s="16"/>
    </row>
    <row r="574" spans="1:21" ht="14.25" customHeight="1">
      <c r="A574" s="14"/>
      <c r="C574" s="15"/>
      <c r="J574" s="16"/>
      <c r="L574" s="16"/>
      <c r="P574" s="16"/>
      <c r="U574" s="16"/>
    </row>
    <row r="575" spans="1:21" ht="14.25" customHeight="1">
      <c r="A575" s="14"/>
      <c r="C575" s="15"/>
      <c r="J575" s="16"/>
      <c r="L575" s="16"/>
      <c r="P575" s="16"/>
      <c r="U575" s="16"/>
    </row>
    <row r="576" spans="1:21" ht="14.25" customHeight="1">
      <c r="A576" s="14"/>
      <c r="C576" s="15"/>
      <c r="J576" s="16"/>
      <c r="L576" s="16"/>
      <c r="P576" s="16"/>
      <c r="U576" s="16"/>
    </row>
    <row r="577" spans="1:21" ht="14.25" customHeight="1">
      <c r="A577" s="14"/>
      <c r="C577" s="15"/>
      <c r="J577" s="16"/>
      <c r="L577" s="16"/>
      <c r="P577" s="16"/>
      <c r="U577" s="16"/>
    </row>
    <row r="578" spans="1:21" ht="14.25" customHeight="1">
      <c r="A578" s="14"/>
      <c r="C578" s="15"/>
      <c r="J578" s="16"/>
      <c r="L578" s="16"/>
      <c r="P578" s="16"/>
      <c r="U578" s="16"/>
    </row>
    <row r="579" spans="1:21" ht="14.25" customHeight="1">
      <c r="A579" s="14"/>
      <c r="C579" s="15"/>
      <c r="J579" s="16"/>
      <c r="L579" s="16"/>
      <c r="P579" s="16"/>
      <c r="U579" s="16"/>
    </row>
    <row r="580" spans="1:21" ht="14.25" customHeight="1">
      <c r="A580" s="14"/>
      <c r="C580" s="15"/>
      <c r="J580" s="16"/>
      <c r="L580" s="16"/>
      <c r="P580" s="16"/>
      <c r="U580" s="16"/>
    </row>
    <row r="581" spans="1:21" ht="14.25" customHeight="1">
      <c r="A581" s="14"/>
      <c r="C581" s="15"/>
      <c r="J581" s="16"/>
      <c r="L581" s="16"/>
      <c r="P581" s="16"/>
      <c r="U581" s="16"/>
    </row>
    <row r="582" spans="1:21" ht="14.25" customHeight="1">
      <c r="A582" s="14"/>
      <c r="C582" s="15"/>
      <c r="J582" s="16"/>
      <c r="L582" s="16"/>
      <c r="P582" s="16"/>
      <c r="U582" s="16"/>
    </row>
    <row r="583" spans="1:21" ht="14.25" customHeight="1">
      <c r="A583" s="14"/>
      <c r="C583" s="15"/>
      <c r="J583" s="16"/>
      <c r="L583" s="16"/>
      <c r="P583" s="16"/>
      <c r="U583" s="16"/>
    </row>
    <row r="584" spans="1:21" ht="14.25" customHeight="1">
      <c r="A584" s="14"/>
      <c r="C584" s="15"/>
      <c r="J584" s="16"/>
      <c r="L584" s="16"/>
      <c r="P584" s="16"/>
      <c r="U584" s="16"/>
    </row>
    <row r="585" spans="1:21" ht="14.25" customHeight="1">
      <c r="A585" s="14"/>
      <c r="C585" s="15"/>
      <c r="J585" s="16"/>
      <c r="L585" s="16"/>
      <c r="P585" s="16"/>
      <c r="U585" s="16"/>
    </row>
    <row r="586" spans="1:21" ht="14.25" customHeight="1">
      <c r="A586" s="14"/>
      <c r="C586" s="15"/>
      <c r="J586" s="16"/>
      <c r="L586" s="16"/>
      <c r="P586" s="16"/>
      <c r="U586" s="16"/>
    </row>
    <row r="587" spans="1:21" ht="14.25" customHeight="1">
      <c r="A587" s="14"/>
      <c r="C587" s="15"/>
      <c r="J587" s="16"/>
      <c r="L587" s="16"/>
      <c r="P587" s="16"/>
      <c r="U587" s="16"/>
    </row>
    <row r="588" spans="1:21" ht="14.25" customHeight="1">
      <c r="A588" s="14"/>
      <c r="C588" s="15"/>
      <c r="J588" s="16"/>
      <c r="L588" s="16"/>
      <c r="P588" s="16"/>
      <c r="U588" s="16"/>
    </row>
    <row r="589" spans="1:21" ht="14.25" customHeight="1">
      <c r="A589" s="14"/>
      <c r="C589" s="15"/>
      <c r="J589" s="16"/>
      <c r="L589" s="16"/>
      <c r="P589" s="16"/>
      <c r="U589" s="16"/>
    </row>
    <row r="590" spans="1:21" ht="14.25" customHeight="1">
      <c r="A590" s="14"/>
      <c r="C590" s="15"/>
      <c r="J590" s="16"/>
      <c r="L590" s="16"/>
      <c r="P590" s="16"/>
      <c r="U590" s="16"/>
    </row>
    <row r="591" spans="1:21" ht="14.25" customHeight="1">
      <c r="A591" s="14"/>
      <c r="C591" s="15"/>
      <c r="J591" s="16"/>
      <c r="L591" s="16"/>
      <c r="P591" s="16"/>
      <c r="U591" s="16"/>
    </row>
    <row r="592" spans="1:21" ht="14.25" customHeight="1">
      <c r="A592" s="14"/>
      <c r="C592" s="15"/>
      <c r="J592" s="16"/>
      <c r="L592" s="16"/>
      <c r="P592" s="16"/>
      <c r="U592" s="16"/>
    </row>
    <row r="593" spans="1:21" ht="14.25" customHeight="1">
      <c r="A593" s="14"/>
      <c r="C593" s="15"/>
      <c r="J593" s="16"/>
      <c r="L593" s="16"/>
      <c r="P593" s="16"/>
      <c r="U593" s="16"/>
    </row>
    <row r="594" spans="1:21" ht="14.25" customHeight="1">
      <c r="A594" s="14"/>
      <c r="C594" s="15"/>
      <c r="J594" s="16"/>
      <c r="L594" s="16"/>
      <c r="P594" s="16"/>
      <c r="U594" s="16"/>
    </row>
    <row r="595" spans="1:21" ht="14.25" customHeight="1">
      <c r="A595" s="14"/>
      <c r="C595" s="15"/>
      <c r="J595" s="16"/>
      <c r="L595" s="16"/>
      <c r="P595" s="16"/>
      <c r="U595" s="16"/>
    </row>
    <row r="596" spans="1:21" ht="14.25" customHeight="1">
      <c r="A596" s="14"/>
      <c r="C596" s="15"/>
      <c r="J596" s="16"/>
      <c r="L596" s="16"/>
      <c r="P596" s="16"/>
      <c r="U596" s="16"/>
    </row>
    <row r="597" spans="1:21" ht="14.25" customHeight="1">
      <c r="A597" s="14"/>
      <c r="C597" s="15"/>
      <c r="J597" s="16"/>
      <c r="L597" s="16"/>
      <c r="P597" s="16"/>
      <c r="U597" s="16"/>
    </row>
    <row r="598" spans="1:21" ht="14.25" customHeight="1">
      <c r="A598" s="14"/>
      <c r="C598" s="15"/>
      <c r="J598" s="16"/>
      <c r="L598" s="16"/>
      <c r="P598" s="16"/>
      <c r="U598" s="16"/>
    </row>
    <row r="599" spans="1:21" ht="14.25" customHeight="1">
      <c r="A599" s="14"/>
      <c r="C599" s="15"/>
      <c r="J599" s="16"/>
      <c r="L599" s="16"/>
      <c r="P599" s="16"/>
      <c r="U599" s="16"/>
    </row>
    <row r="600" spans="1:21" ht="14.25" customHeight="1">
      <c r="A600" s="14"/>
      <c r="C600" s="15"/>
      <c r="J600" s="16"/>
      <c r="L600" s="16"/>
      <c r="P600" s="16"/>
      <c r="U600" s="16"/>
    </row>
    <row r="601" spans="1:21" ht="14.25" customHeight="1">
      <c r="A601" s="14"/>
      <c r="C601" s="15"/>
      <c r="J601" s="16"/>
      <c r="L601" s="16"/>
      <c r="P601" s="16"/>
      <c r="U601" s="16"/>
    </row>
    <row r="602" spans="1:21" ht="14.25" customHeight="1">
      <c r="A602" s="14"/>
      <c r="C602" s="15"/>
      <c r="J602" s="16"/>
      <c r="L602" s="16"/>
      <c r="P602" s="16"/>
      <c r="U602" s="16"/>
    </row>
    <row r="603" spans="1:21" ht="14.25" customHeight="1">
      <c r="A603" s="14"/>
      <c r="C603" s="15"/>
      <c r="J603" s="16"/>
      <c r="L603" s="16"/>
      <c r="P603" s="16"/>
      <c r="U603" s="16"/>
    </row>
    <row r="604" spans="1:21" ht="14.25" customHeight="1">
      <c r="A604" s="14"/>
      <c r="C604" s="15"/>
      <c r="J604" s="16"/>
      <c r="L604" s="16"/>
      <c r="P604" s="16"/>
      <c r="U604" s="16"/>
    </row>
    <row r="605" spans="1:21" ht="14.25" customHeight="1">
      <c r="A605" s="14"/>
      <c r="C605" s="15"/>
      <c r="J605" s="16"/>
      <c r="L605" s="16"/>
      <c r="P605" s="16"/>
      <c r="U605" s="16"/>
    </row>
    <row r="606" spans="1:21" ht="14.25" customHeight="1">
      <c r="A606" s="14"/>
      <c r="C606" s="15"/>
      <c r="J606" s="16"/>
      <c r="L606" s="16"/>
      <c r="P606" s="16"/>
      <c r="U606" s="16"/>
    </row>
    <row r="607" spans="1:21" ht="14.25" customHeight="1">
      <c r="A607" s="14"/>
      <c r="C607" s="15"/>
      <c r="J607" s="16"/>
      <c r="L607" s="16"/>
      <c r="P607" s="16"/>
      <c r="U607" s="16"/>
    </row>
    <row r="608" spans="1:21" ht="14.25" customHeight="1">
      <c r="A608" s="14"/>
      <c r="C608" s="15"/>
      <c r="J608" s="16"/>
      <c r="L608" s="16"/>
      <c r="P608" s="16"/>
      <c r="U608" s="16"/>
    </row>
    <row r="609" spans="1:21" ht="14.25" customHeight="1">
      <c r="A609" s="14"/>
      <c r="C609" s="15"/>
      <c r="J609" s="16"/>
      <c r="L609" s="16"/>
      <c r="P609" s="16"/>
      <c r="U609" s="16"/>
    </row>
    <row r="610" spans="1:21" ht="14.25" customHeight="1">
      <c r="A610" s="14"/>
      <c r="C610" s="15"/>
      <c r="J610" s="16"/>
      <c r="L610" s="16"/>
      <c r="P610" s="16"/>
      <c r="U610" s="16"/>
    </row>
    <row r="611" spans="1:21" ht="14.25" customHeight="1">
      <c r="A611" s="14"/>
      <c r="C611" s="15"/>
      <c r="J611" s="16"/>
      <c r="L611" s="16"/>
      <c r="P611" s="16"/>
      <c r="U611" s="16"/>
    </row>
    <row r="612" spans="1:21" ht="14.25" customHeight="1">
      <c r="A612" s="14"/>
      <c r="C612" s="15"/>
      <c r="J612" s="16"/>
      <c r="L612" s="16"/>
      <c r="P612" s="16"/>
      <c r="U612" s="16"/>
    </row>
    <row r="613" spans="1:21" ht="14.25" customHeight="1">
      <c r="A613" s="14"/>
      <c r="C613" s="15"/>
      <c r="J613" s="16"/>
      <c r="L613" s="16"/>
      <c r="P613" s="16"/>
      <c r="U613" s="16"/>
    </row>
    <row r="614" spans="1:21" ht="14.25" customHeight="1">
      <c r="A614" s="14"/>
      <c r="C614" s="15"/>
      <c r="J614" s="16"/>
      <c r="L614" s="16"/>
      <c r="P614" s="16"/>
      <c r="U614" s="16"/>
    </row>
    <row r="615" spans="1:21" ht="14.25" customHeight="1">
      <c r="A615" s="14"/>
      <c r="C615" s="15"/>
      <c r="J615" s="16"/>
      <c r="L615" s="16"/>
      <c r="P615" s="16"/>
      <c r="U615" s="16"/>
    </row>
    <row r="616" spans="1:21" ht="14.25" customHeight="1">
      <c r="A616" s="14"/>
      <c r="C616" s="15"/>
      <c r="J616" s="16"/>
      <c r="L616" s="16"/>
      <c r="P616" s="16"/>
      <c r="U616" s="16"/>
    </row>
    <row r="617" spans="1:21" ht="14.25" customHeight="1">
      <c r="A617" s="14"/>
      <c r="C617" s="15"/>
      <c r="J617" s="16"/>
      <c r="L617" s="16"/>
      <c r="P617" s="16"/>
      <c r="U617" s="16"/>
    </row>
    <row r="618" spans="1:21" ht="14.25" customHeight="1">
      <c r="A618" s="14"/>
      <c r="C618" s="15"/>
      <c r="J618" s="16"/>
      <c r="L618" s="16"/>
      <c r="P618" s="16"/>
      <c r="U618" s="16"/>
    </row>
    <row r="619" spans="1:21" ht="14.25" customHeight="1">
      <c r="A619" s="14"/>
      <c r="C619" s="15"/>
      <c r="J619" s="16"/>
      <c r="L619" s="16"/>
      <c r="P619" s="16"/>
      <c r="U619" s="16"/>
    </row>
    <row r="620" spans="1:21" ht="14.25" customHeight="1">
      <c r="A620" s="14"/>
      <c r="C620" s="15"/>
      <c r="J620" s="16"/>
      <c r="L620" s="16"/>
      <c r="P620" s="16"/>
      <c r="U620" s="16"/>
    </row>
    <row r="621" spans="1:21" ht="14.25" customHeight="1">
      <c r="A621" s="14"/>
      <c r="C621" s="15"/>
      <c r="J621" s="16"/>
      <c r="L621" s="16"/>
      <c r="P621" s="16"/>
      <c r="U621" s="16"/>
    </row>
    <row r="622" spans="1:21" ht="14.25" customHeight="1">
      <c r="A622" s="14"/>
      <c r="C622" s="15"/>
      <c r="J622" s="16"/>
      <c r="L622" s="16"/>
      <c r="P622" s="16"/>
      <c r="U622" s="16"/>
    </row>
    <row r="623" spans="1:21" ht="14.25" customHeight="1">
      <c r="A623" s="14"/>
      <c r="C623" s="15"/>
      <c r="J623" s="16"/>
      <c r="L623" s="16"/>
      <c r="P623" s="16"/>
      <c r="U623" s="16"/>
    </row>
    <row r="624" spans="1:21" ht="14.25" customHeight="1">
      <c r="A624" s="14"/>
      <c r="C624" s="15"/>
      <c r="J624" s="16"/>
      <c r="L624" s="16"/>
      <c r="P624" s="16"/>
      <c r="U624" s="16"/>
    </row>
    <row r="625" spans="1:21" ht="14.25" customHeight="1">
      <c r="A625" s="14"/>
      <c r="C625" s="15"/>
      <c r="J625" s="16"/>
      <c r="L625" s="16"/>
      <c r="P625" s="16"/>
      <c r="U625" s="16"/>
    </row>
    <row r="626" spans="1:21" ht="14.25" customHeight="1">
      <c r="A626" s="14"/>
      <c r="C626" s="15"/>
      <c r="J626" s="16"/>
      <c r="L626" s="16"/>
      <c r="P626" s="16"/>
      <c r="U626" s="16"/>
    </row>
    <row r="627" spans="1:21" ht="14.25" customHeight="1">
      <c r="A627" s="14"/>
      <c r="C627" s="15"/>
      <c r="J627" s="16"/>
      <c r="L627" s="16"/>
      <c r="P627" s="16"/>
      <c r="U627" s="16"/>
    </row>
    <row r="628" spans="1:21" ht="14.25" customHeight="1">
      <c r="A628" s="14"/>
      <c r="C628" s="15"/>
      <c r="J628" s="16"/>
      <c r="L628" s="16"/>
      <c r="P628" s="16"/>
      <c r="U628" s="16"/>
    </row>
    <row r="629" spans="1:21" ht="14.25" customHeight="1">
      <c r="A629" s="14"/>
      <c r="C629" s="15"/>
      <c r="J629" s="16"/>
      <c r="L629" s="16"/>
      <c r="P629" s="16"/>
      <c r="U629" s="16"/>
    </row>
    <row r="630" spans="1:21" ht="14.25" customHeight="1">
      <c r="A630" s="14"/>
      <c r="C630" s="15"/>
      <c r="J630" s="16"/>
      <c r="L630" s="16"/>
      <c r="P630" s="16"/>
      <c r="U630" s="16"/>
    </row>
    <row r="631" spans="1:21" ht="14.25" customHeight="1">
      <c r="A631" s="14"/>
      <c r="C631" s="15"/>
      <c r="J631" s="16"/>
      <c r="L631" s="16"/>
      <c r="P631" s="16"/>
      <c r="U631" s="16"/>
    </row>
    <row r="632" spans="1:21" ht="14.25" customHeight="1">
      <c r="A632" s="14"/>
      <c r="C632" s="15"/>
      <c r="J632" s="16"/>
      <c r="L632" s="16"/>
      <c r="P632" s="16"/>
      <c r="U632" s="16"/>
    </row>
    <row r="633" spans="1:21" ht="14.25" customHeight="1">
      <c r="A633" s="14"/>
      <c r="C633" s="15"/>
      <c r="J633" s="16"/>
      <c r="L633" s="16"/>
      <c r="P633" s="16"/>
      <c r="U633" s="16"/>
    </row>
    <row r="634" spans="1:21" ht="14.25" customHeight="1">
      <c r="A634" s="14"/>
      <c r="C634" s="15"/>
      <c r="J634" s="16"/>
      <c r="L634" s="16"/>
      <c r="P634" s="16"/>
      <c r="U634" s="16"/>
    </row>
    <row r="635" spans="1:21" ht="14.25" customHeight="1">
      <c r="A635" s="14"/>
      <c r="C635" s="15"/>
      <c r="J635" s="16"/>
      <c r="L635" s="16"/>
      <c r="P635" s="16"/>
      <c r="U635" s="16"/>
    </row>
    <row r="636" spans="1:21" ht="14.25" customHeight="1">
      <c r="A636" s="14"/>
      <c r="C636" s="15"/>
      <c r="J636" s="16"/>
      <c r="L636" s="16"/>
      <c r="P636" s="16"/>
      <c r="U636" s="16"/>
    </row>
    <row r="637" spans="1:21" ht="14.25" customHeight="1">
      <c r="A637" s="14"/>
      <c r="C637" s="15"/>
      <c r="J637" s="16"/>
      <c r="L637" s="16"/>
      <c r="P637" s="16"/>
      <c r="U637" s="16"/>
    </row>
    <row r="638" spans="1:21" ht="14.25" customHeight="1">
      <c r="A638" s="14"/>
      <c r="C638" s="15"/>
      <c r="J638" s="16"/>
      <c r="L638" s="16"/>
      <c r="P638" s="16"/>
      <c r="U638" s="16"/>
    </row>
    <row r="639" spans="1:21" ht="14.25" customHeight="1">
      <c r="A639" s="14"/>
      <c r="C639" s="15"/>
      <c r="J639" s="16"/>
      <c r="L639" s="16"/>
      <c r="P639" s="16"/>
      <c r="U639" s="16"/>
    </row>
    <row r="640" spans="1:21" ht="14.25" customHeight="1">
      <c r="A640" s="14"/>
      <c r="C640" s="15"/>
      <c r="J640" s="16"/>
      <c r="L640" s="16"/>
      <c r="P640" s="16"/>
      <c r="U640" s="16"/>
    </row>
    <row r="641" spans="1:21" ht="14.25" customHeight="1">
      <c r="A641" s="14"/>
      <c r="C641" s="15"/>
      <c r="J641" s="16"/>
      <c r="L641" s="16"/>
      <c r="P641" s="16"/>
      <c r="U641" s="16"/>
    </row>
    <row r="642" spans="1:21" ht="14.25" customHeight="1">
      <c r="A642" s="14"/>
      <c r="C642" s="15"/>
      <c r="J642" s="16"/>
      <c r="L642" s="16"/>
      <c r="P642" s="16"/>
      <c r="U642" s="16"/>
    </row>
    <row r="643" spans="1:21" ht="14.25" customHeight="1">
      <c r="A643" s="14"/>
      <c r="C643" s="15"/>
      <c r="J643" s="16"/>
      <c r="L643" s="16"/>
      <c r="P643" s="16"/>
      <c r="U643" s="16"/>
    </row>
    <row r="644" spans="1:21" ht="14.25" customHeight="1">
      <c r="A644" s="14"/>
      <c r="C644" s="15"/>
      <c r="J644" s="16"/>
      <c r="L644" s="16"/>
      <c r="P644" s="16"/>
      <c r="U644" s="16"/>
    </row>
    <row r="645" spans="1:21" ht="14.25" customHeight="1">
      <c r="A645" s="14"/>
      <c r="C645" s="15"/>
      <c r="J645" s="16"/>
      <c r="L645" s="16"/>
      <c r="P645" s="16"/>
      <c r="U645" s="16"/>
    </row>
    <row r="646" spans="1:21" ht="14.25" customHeight="1">
      <c r="A646" s="14"/>
      <c r="C646" s="15"/>
      <c r="J646" s="16"/>
      <c r="L646" s="16"/>
      <c r="P646" s="16"/>
      <c r="U646" s="16"/>
    </row>
    <row r="647" spans="1:21" ht="14.25" customHeight="1">
      <c r="A647" s="14"/>
      <c r="C647" s="15"/>
      <c r="J647" s="16"/>
      <c r="L647" s="16"/>
      <c r="P647" s="16"/>
      <c r="U647" s="16"/>
    </row>
    <row r="648" spans="1:21" ht="14.25" customHeight="1">
      <c r="A648" s="14"/>
      <c r="C648" s="15"/>
      <c r="J648" s="16"/>
      <c r="L648" s="16"/>
      <c r="P648" s="16"/>
      <c r="U648" s="16"/>
    </row>
    <row r="649" spans="1:21" ht="14.25" customHeight="1">
      <c r="A649" s="14"/>
      <c r="C649" s="15"/>
      <c r="J649" s="16"/>
      <c r="L649" s="16"/>
      <c r="P649" s="16"/>
      <c r="U649" s="16"/>
    </row>
    <row r="650" spans="1:21" ht="14.25" customHeight="1">
      <c r="A650" s="14"/>
      <c r="C650" s="15"/>
      <c r="J650" s="16"/>
      <c r="L650" s="16"/>
      <c r="P650" s="16"/>
      <c r="U650" s="16"/>
    </row>
    <row r="651" spans="1:21" ht="14.25" customHeight="1">
      <c r="A651" s="14"/>
      <c r="C651" s="15"/>
      <c r="J651" s="16"/>
      <c r="L651" s="16"/>
      <c r="P651" s="16"/>
      <c r="U651" s="16"/>
    </row>
    <row r="652" spans="1:21" ht="14.25" customHeight="1">
      <c r="A652" s="14"/>
      <c r="C652" s="15"/>
      <c r="J652" s="16"/>
      <c r="L652" s="16"/>
      <c r="P652" s="16"/>
      <c r="U652" s="16"/>
    </row>
    <row r="653" spans="1:21" ht="14.25" customHeight="1">
      <c r="A653" s="14"/>
      <c r="C653" s="15"/>
      <c r="J653" s="16"/>
      <c r="L653" s="16"/>
      <c r="P653" s="16"/>
      <c r="U653" s="16"/>
    </row>
    <row r="654" spans="1:21" ht="14.25" customHeight="1">
      <c r="A654" s="14"/>
      <c r="C654" s="15"/>
      <c r="J654" s="16"/>
      <c r="L654" s="16"/>
      <c r="P654" s="16"/>
      <c r="U654" s="16"/>
    </row>
    <row r="655" spans="1:21" ht="14.25" customHeight="1">
      <c r="A655" s="14"/>
      <c r="C655" s="15"/>
      <c r="J655" s="16"/>
      <c r="L655" s="16"/>
      <c r="P655" s="16"/>
      <c r="U655" s="16"/>
    </row>
    <row r="656" spans="1:21" ht="14.25" customHeight="1">
      <c r="A656" s="14"/>
      <c r="C656" s="15"/>
      <c r="J656" s="16"/>
      <c r="L656" s="16"/>
      <c r="P656" s="16"/>
      <c r="U656" s="16"/>
    </row>
    <row r="657" spans="1:21" ht="14.25" customHeight="1">
      <c r="A657" s="14"/>
      <c r="C657" s="15"/>
      <c r="J657" s="16"/>
      <c r="L657" s="16"/>
      <c r="P657" s="16"/>
      <c r="U657" s="16"/>
    </row>
    <row r="658" spans="1:21" ht="14.25" customHeight="1">
      <c r="A658" s="14"/>
      <c r="C658" s="15"/>
      <c r="J658" s="16"/>
      <c r="L658" s="16"/>
      <c r="P658" s="16"/>
      <c r="U658" s="16"/>
    </row>
    <row r="659" spans="1:21" ht="14.25" customHeight="1">
      <c r="A659" s="14"/>
      <c r="C659" s="15"/>
      <c r="J659" s="16"/>
      <c r="L659" s="16"/>
      <c r="P659" s="16"/>
      <c r="U659" s="16"/>
    </row>
    <row r="660" spans="1:21" ht="14.25" customHeight="1">
      <c r="A660" s="14"/>
      <c r="C660" s="15"/>
      <c r="J660" s="16"/>
      <c r="L660" s="16"/>
      <c r="P660" s="16"/>
      <c r="U660" s="16"/>
    </row>
    <row r="661" spans="1:21" ht="14.25" customHeight="1">
      <c r="A661" s="14"/>
      <c r="C661" s="15"/>
      <c r="J661" s="16"/>
      <c r="L661" s="16"/>
      <c r="P661" s="16"/>
      <c r="U661" s="16"/>
    </row>
    <row r="662" spans="1:21" ht="14.25" customHeight="1">
      <c r="A662" s="14"/>
      <c r="C662" s="15"/>
      <c r="J662" s="16"/>
      <c r="L662" s="16"/>
      <c r="P662" s="16"/>
      <c r="U662" s="16"/>
    </row>
    <row r="663" spans="1:21" ht="14.25" customHeight="1">
      <c r="A663" s="14"/>
      <c r="C663" s="15"/>
      <c r="J663" s="16"/>
      <c r="L663" s="16"/>
      <c r="P663" s="16"/>
      <c r="U663" s="16"/>
    </row>
    <row r="664" spans="1:21" ht="14.25" customHeight="1">
      <c r="A664" s="14"/>
      <c r="C664" s="15"/>
      <c r="J664" s="16"/>
      <c r="L664" s="16"/>
      <c r="P664" s="16"/>
      <c r="U664" s="16"/>
    </row>
    <row r="665" spans="1:21" ht="14.25" customHeight="1">
      <c r="A665" s="14"/>
      <c r="C665" s="15"/>
      <c r="J665" s="16"/>
      <c r="L665" s="16"/>
      <c r="P665" s="16"/>
      <c r="U665" s="16"/>
    </row>
    <row r="666" spans="1:21" ht="14.25" customHeight="1">
      <c r="A666" s="14"/>
      <c r="C666" s="15"/>
      <c r="J666" s="16"/>
      <c r="L666" s="16"/>
      <c r="P666" s="16"/>
      <c r="U666" s="16"/>
    </row>
    <row r="667" spans="1:21" ht="14.25" customHeight="1">
      <c r="A667" s="14"/>
      <c r="C667" s="15"/>
      <c r="J667" s="16"/>
      <c r="L667" s="16"/>
      <c r="P667" s="16"/>
      <c r="U667" s="16"/>
    </row>
    <row r="668" spans="1:21" ht="14.25" customHeight="1">
      <c r="A668" s="14"/>
      <c r="C668" s="15"/>
      <c r="J668" s="16"/>
      <c r="L668" s="16"/>
      <c r="P668" s="16"/>
      <c r="U668" s="16"/>
    </row>
    <row r="669" spans="1:21" ht="14.25" customHeight="1">
      <c r="A669" s="14"/>
      <c r="C669" s="15"/>
      <c r="J669" s="16"/>
      <c r="L669" s="16"/>
      <c r="P669" s="16"/>
      <c r="U669" s="16"/>
    </row>
    <row r="670" spans="1:21" ht="14.25" customHeight="1">
      <c r="A670" s="14"/>
      <c r="C670" s="15"/>
      <c r="J670" s="16"/>
      <c r="L670" s="16"/>
      <c r="P670" s="16"/>
      <c r="U670" s="16"/>
    </row>
    <row r="671" spans="1:21" ht="14.25" customHeight="1">
      <c r="A671" s="14"/>
      <c r="C671" s="15"/>
      <c r="J671" s="16"/>
      <c r="L671" s="16"/>
      <c r="P671" s="16"/>
      <c r="U671" s="16"/>
    </row>
    <row r="672" spans="1:21" ht="14.25" customHeight="1">
      <c r="A672" s="14"/>
      <c r="C672" s="15"/>
      <c r="J672" s="16"/>
      <c r="L672" s="16"/>
      <c r="P672" s="16"/>
      <c r="U672" s="16"/>
    </row>
    <row r="673" spans="1:21" ht="14.25" customHeight="1">
      <c r="A673" s="14"/>
      <c r="C673" s="15"/>
      <c r="J673" s="16"/>
      <c r="L673" s="16"/>
      <c r="P673" s="16"/>
      <c r="U673" s="16"/>
    </row>
    <row r="674" spans="1:21" ht="14.25" customHeight="1">
      <c r="A674" s="14"/>
      <c r="C674" s="15"/>
      <c r="J674" s="16"/>
      <c r="L674" s="16"/>
      <c r="P674" s="16"/>
      <c r="U674" s="16"/>
    </row>
    <row r="675" spans="1:21" ht="14.25" customHeight="1">
      <c r="A675" s="14"/>
      <c r="C675" s="15"/>
      <c r="J675" s="16"/>
      <c r="L675" s="16"/>
      <c r="P675" s="16"/>
      <c r="U675" s="16"/>
    </row>
    <row r="676" spans="1:21" ht="14.25" customHeight="1">
      <c r="A676" s="14"/>
      <c r="C676" s="15"/>
      <c r="J676" s="16"/>
      <c r="L676" s="16"/>
      <c r="P676" s="16"/>
      <c r="U676" s="16"/>
    </row>
    <row r="677" spans="1:21" ht="14.25" customHeight="1">
      <c r="A677" s="14"/>
      <c r="C677" s="15"/>
      <c r="J677" s="16"/>
      <c r="L677" s="16"/>
      <c r="P677" s="16"/>
      <c r="U677" s="16"/>
    </row>
    <row r="678" spans="1:21" ht="14.25" customHeight="1">
      <c r="A678" s="14"/>
      <c r="C678" s="15"/>
      <c r="J678" s="16"/>
      <c r="L678" s="16"/>
      <c r="P678" s="16"/>
      <c r="U678" s="16"/>
    </row>
    <row r="679" spans="1:21" ht="14.25" customHeight="1">
      <c r="A679" s="14"/>
      <c r="C679" s="15"/>
      <c r="J679" s="16"/>
      <c r="L679" s="16"/>
      <c r="P679" s="16"/>
      <c r="U679" s="16"/>
    </row>
    <row r="680" spans="1:21" ht="14.25" customHeight="1">
      <c r="A680" s="14"/>
      <c r="C680" s="15"/>
      <c r="J680" s="16"/>
      <c r="L680" s="16"/>
      <c r="P680" s="16"/>
      <c r="U680" s="16"/>
    </row>
    <row r="681" spans="1:21" ht="14.25" customHeight="1">
      <c r="A681" s="14"/>
      <c r="C681" s="15"/>
      <c r="J681" s="16"/>
      <c r="L681" s="16"/>
      <c r="P681" s="16"/>
      <c r="U681" s="16"/>
    </row>
    <row r="682" spans="1:21" ht="14.25" customHeight="1">
      <c r="A682" s="14"/>
      <c r="C682" s="15"/>
      <c r="J682" s="16"/>
      <c r="L682" s="16"/>
      <c r="P682" s="16"/>
      <c r="U682" s="16"/>
    </row>
    <row r="683" spans="1:21" ht="14.25" customHeight="1">
      <c r="A683" s="14"/>
      <c r="C683" s="15"/>
      <c r="J683" s="16"/>
      <c r="L683" s="16"/>
      <c r="P683" s="16"/>
      <c r="U683" s="16"/>
    </row>
    <row r="684" spans="1:21" ht="14.25" customHeight="1">
      <c r="A684" s="14"/>
      <c r="C684" s="15"/>
      <c r="J684" s="16"/>
      <c r="L684" s="16"/>
      <c r="P684" s="16"/>
      <c r="U684" s="16"/>
    </row>
    <row r="685" spans="1:21" ht="14.25" customHeight="1">
      <c r="A685" s="14"/>
      <c r="C685" s="15"/>
      <c r="J685" s="16"/>
      <c r="L685" s="16"/>
      <c r="P685" s="16"/>
      <c r="U685" s="16"/>
    </row>
    <row r="686" spans="1:21" ht="14.25" customHeight="1">
      <c r="A686" s="14"/>
      <c r="C686" s="15"/>
      <c r="J686" s="16"/>
      <c r="L686" s="16"/>
      <c r="P686" s="16"/>
      <c r="U686" s="16"/>
    </row>
    <row r="687" spans="1:21" ht="14.25" customHeight="1">
      <c r="A687" s="14"/>
      <c r="C687" s="15"/>
      <c r="J687" s="16"/>
      <c r="L687" s="16"/>
      <c r="P687" s="16"/>
      <c r="U687" s="16"/>
    </row>
    <row r="688" spans="1:21" ht="14.25" customHeight="1">
      <c r="A688" s="14"/>
      <c r="C688" s="15"/>
      <c r="J688" s="16"/>
      <c r="L688" s="16"/>
      <c r="P688" s="16"/>
      <c r="U688" s="16"/>
    </row>
    <row r="689" spans="1:21" ht="14.25" customHeight="1">
      <c r="A689" s="14"/>
      <c r="C689" s="15"/>
      <c r="J689" s="16"/>
      <c r="L689" s="16"/>
      <c r="P689" s="16"/>
      <c r="U689" s="16"/>
    </row>
    <row r="690" spans="1:21" ht="14.25" customHeight="1">
      <c r="A690" s="14"/>
      <c r="C690" s="15"/>
      <c r="J690" s="16"/>
      <c r="L690" s="16"/>
      <c r="P690" s="16"/>
      <c r="U690" s="16"/>
    </row>
    <row r="691" spans="1:21" ht="14.25" customHeight="1">
      <c r="A691" s="14"/>
      <c r="C691" s="15"/>
      <c r="J691" s="16"/>
      <c r="L691" s="16"/>
      <c r="P691" s="16"/>
      <c r="U691" s="16"/>
    </row>
    <row r="692" spans="1:21" ht="14.25" customHeight="1">
      <c r="A692" s="14"/>
      <c r="C692" s="15"/>
      <c r="J692" s="16"/>
      <c r="L692" s="16"/>
      <c r="P692" s="16"/>
      <c r="U692" s="16"/>
    </row>
    <row r="693" spans="1:21" ht="14.25" customHeight="1">
      <c r="A693" s="14"/>
      <c r="C693" s="15"/>
      <c r="J693" s="16"/>
      <c r="L693" s="16"/>
      <c r="P693" s="16"/>
      <c r="U693" s="16"/>
    </row>
    <row r="694" spans="1:21" ht="14.25" customHeight="1">
      <c r="A694" s="14"/>
      <c r="C694" s="15"/>
      <c r="J694" s="16"/>
      <c r="L694" s="16"/>
      <c r="P694" s="16"/>
      <c r="U694" s="16"/>
    </row>
    <row r="695" spans="1:21" ht="14.25" customHeight="1">
      <c r="A695" s="14"/>
      <c r="C695" s="15"/>
      <c r="J695" s="16"/>
      <c r="L695" s="16"/>
      <c r="P695" s="16"/>
      <c r="U695" s="16"/>
    </row>
    <row r="696" spans="1:21" ht="14.25" customHeight="1">
      <c r="A696" s="14"/>
      <c r="C696" s="15"/>
      <c r="J696" s="16"/>
      <c r="L696" s="16"/>
      <c r="P696" s="16"/>
      <c r="U696" s="16"/>
    </row>
    <row r="697" spans="1:21" ht="14.25" customHeight="1">
      <c r="A697" s="14"/>
      <c r="C697" s="15"/>
      <c r="J697" s="16"/>
      <c r="L697" s="16"/>
      <c r="P697" s="16"/>
      <c r="U697" s="16"/>
    </row>
    <row r="698" spans="1:21" ht="14.25" customHeight="1">
      <c r="A698" s="14"/>
      <c r="C698" s="15"/>
      <c r="J698" s="16"/>
      <c r="L698" s="16"/>
      <c r="P698" s="16"/>
      <c r="U698" s="16"/>
    </row>
    <row r="699" spans="1:21" ht="14.25" customHeight="1">
      <c r="A699" s="14"/>
      <c r="C699" s="15"/>
      <c r="J699" s="16"/>
      <c r="L699" s="16"/>
      <c r="P699" s="16"/>
      <c r="U699" s="16"/>
    </row>
    <row r="700" spans="1:21" ht="14.25" customHeight="1">
      <c r="A700" s="14"/>
      <c r="C700" s="15"/>
      <c r="J700" s="16"/>
      <c r="L700" s="16"/>
      <c r="P700" s="16"/>
      <c r="U700" s="16"/>
    </row>
    <row r="701" spans="1:21" ht="14.25" customHeight="1">
      <c r="A701" s="14"/>
      <c r="C701" s="15"/>
      <c r="J701" s="16"/>
      <c r="L701" s="16"/>
      <c r="P701" s="16"/>
      <c r="U701" s="16"/>
    </row>
    <row r="702" spans="1:21" ht="14.25" customHeight="1">
      <c r="A702" s="14"/>
      <c r="C702" s="15"/>
      <c r="J702" s="16"/>
      <c r="L702" s="16"/>
      <c r="P702" s="16"/>
      <c r="U702" s="16"/>
    </row>
    <row r="703" spans="1:21" ht="14.25" customHeight="1">
      <c r="A703" s="14"/>
      <c r="C703" s="15"/>
      <c r="J703" s="16"/>
      <c r="L703" s="16"/>
      <c r="P703" s="16"/>
      <c r="U703" s="16"/>
    </row>
    <row r="704" spans="1:21" ht="14.25" customHeight="1">
      <c r="A704" s="14"/>
      <c r="C704" s="15"/>
      <c r="J704" s="16"/>
      <c r="L704" s="16"/>
      <c r="P704" s="16"/>
      <c r="U704" s="16"/>
    </row>
    <row r="705" spans="1:21" ht="14.25" customHeight="1">
      <c r="A705" s="14"/>
      <c r="C705" s="15"/>
      <c r="J705" s="16"/>
      <c r="L705" s="16"/>
      <c r="P705" s="16"/>
      <c r="U705" s="16"/>
    </row>
    <row r="706" spans="1:21" ht="14.25" customHeight="1">
      <c r="A706" s="14"/>
      <c r="C706" s="15"/>
      <c r="J706" s="16"/>
      <c r="L706" s="16"/>
      <c r="P706" s="16"/>
      <c r="U706" s="16"/>
    </row>
    <row r="707" spans="1:21" ht="14.25" customHeight="1">
      <c r="A707" s="14"/>
      <c r="C707" s="15"/>
      <c r="J707" s="16"/>
      <c r="L707" s="16"/>
      <c r="P707" s="16"/>
      <c r="U707" s="16"/>
    </row>
    <row r="708" spans="1:21" ht="14.25" customHeight="1">
      <c r="A708" s="14"/>
      <c r="C708" s="15"/>
      <c r="J708" s="16"/>
      <c r="L708" s="16"/>
      <c r="P708" s="16"/>
      <c r="U708" s="16"/>
    </row>
    <row r="709" spans="1:21" ht="14.25" customHeight="1">
      <c r="A709" s="14"/>
      <c r="C709" s="15"/>
      <c r="J709" s="16"/>
      <c r="L709" s="16"/>
      <c r="P709" s="16"/>
      <c r="U709" s="16"/>
    </row>
    <row r="710" spans="1:21" ht="14.25" customHeight="1">
      <c r="A710" s="14"/>
      <c r="C710" s="15"/>
      <c r="J710" s="16"/>
      <c r="L710" s="16"/>
      <c r="P710" s="16"/>
      <c r="U710" s="16"/>
    </row>
    <row r="711" spans="1:21" ht="14.25" customHeight="1">
      <c r="A711" s="14"/>
      <c r="C711" s="15"/>
      <c r="J711" s="16"/>
      <c r="L711" s="16"/>
      <c r="P711" s="16"/>
      <c r="U711" s="16"/>
    </row>
    <row r="712" spans="1:21" ht="14.25" customHeight="1">
      <c r="A712" s="14"/>
      <c r="C712" s="15"/>
      <c r="J712" s="16"/>
      <c r="L712" s="16"/>
      <c r="P712" s="16"/>
      <c r="U712" s="16"/>
    </row>
    <row r="713" spans="1:21" ht="14.25" customHeight="1">
      <c r="A713" s="14"/>
      <c r="C713" s="15"/>
      <c r="J713" s="16"/>
      <c r="L713" s="16"/>
      <c r="P713" s="16"/>
      <c r="U713" s="16"/>
    </row>
    <row r="714" spans="1:21" ht="14.25" customHeight="1">
      <c r="A714" s="14"/>
      <c r="C714" s="15"/>
      <c r="J714" s="16"/>
      <c r="L714" s="16"/>
      <c r="P714" s="16"/>
      <c r="U714" s="16"/>
    </row>
    <row r="715" spans="1:21" ht="14.25" customHeight="1">
      <c r="A715" s="14"/>
      <c r="C715" s="15"/>
      <c r="J715" s="16"/>
      <c r="L715" s="16"/>
      <c r="P715" s="16"/>
      <c r="U715" s="16"/>
    </row>
    <row r="716" spans="1:21" ht="14.25" customHeight="1">
      <c r="A716" s="14"/>
      <c r="C716" s="15"/>
      <c r="J716" s="16"/>
      <c r="L716" s="16"/>
      <c r="P716" s="16"/>
      <c r="U716" s="16"/>
    </row>
    <row r="717" spans="1:21" ht="14.25" customHeight="1">
      <c r="A717" s="14"/>
      <c r="C717" s="15"/>
      <c r="J717" s="16"/>
      <c r="L717" s="16"/>
      <c r="P717" s="16"/>
      <c r="U717" s="16"/>
    </row>
    <row r="718" spans="1:21" ht="14.25" customHeight="1">
      <c r="A718" s="14"/>
      <c r="C718" s="15"/>
      <c r="J718" s="16"/>
      <c r="L718" s="16"/>
      <c r="P718" s="16"/>
      <c r="U718" s="16"/>
    </row>
    <row r="719" spans="1:21" ht="14.25" customHeight="1">
      <c r="A719" s="14"/>
      <c r="C719" s="15"/>
      <c r="J719" s="16"/>
      <c r="L719" s="16"/>
      <c r="P719" s="16"/>
      <c r="U719" s="16"/>
    </row>
    <row r="720" spans="1:21" ht="14.25" customHeight="1">
      <c r="A720" s="14"/>
      <c r="C720" s="15"/>
      <c r="J720" s="16"/>
      <c r="L720" s="16"/>
      <c r="P720" s="16"/>
      <c r="U720" s="16"/>
    </row>
    <row r="721" spans="1:21" ht="14.25" customHeight="1">
      <c r="A721" s="14"/>
      <c r="C721" s="15"/>
      <c r="J721" s="16"/>
      <c r="L721" s="16"/>
      <c r="P721" s="16"/>
      <c r="U721" s="16"/>
    </row>
    <row r="722" spans="1:21" ht="14.25" customHeight="1">
      <c r="A722" s="14"/>
      <c r="C722" s="15"/>
      <c r="J722" s="16"/>
      <c r="L722" s="16"/>
      <c r="P722" s="16"/>
      <c r="U722" s="16"/>
    </row>
    <row r="723" spans="1:21" ht="14.25" customHeight="1">
      <c r="A723" s="14"/>
      <c r="C723" s="15"/>
      <c r="J723" s="16"/>
      <c r="L723" s="16"/>
      <c r="P723" s="16"/>
      <c r="U723" s="16"/>
    </row>
    <row r="724" spans="1:21" ht="14.25" customHeight="1">
      <c r="A724" s="14"/>
      <c r="C724" s="15"/>
      <c r="J724" s="16"/>
      <c r="L724" s="16"/>
      <c r="P724" s="16"/>
      <c r="U724" s="16"/>
    </row>
    <row r="725" spans="1:21" ht="14.25" customHeight="1">
      <c r="A725" s="14"/>
      <c r="C725" s="15"/>
      <c r="J725" s="16"/>
      <c r="L725" s="16"/>
      <c r="P725" s="16"/>
      <c r="U725" s="16"/>
    </row>
    <row r="726" spans="1:21" ht="14.25" customHeight="1">
      <c r="A726" s="14"/>
      <c r="C726" s="15"/>
      <c r="J726" s="16"/>
      <c r="L726" s="16"/>
      <c r="P726" s="16"/>
      <c r="U726" s="16"/>
    </row>
    <row r="727" spans="1:21" ht="14.25" customHeight="1">
      <c r="A727" s="14"/>
      <c r="C727" s="15"/>
      <c r="J727" s="16"/>
      <c r="L727" s="16"/>
      <c r="P727" s="16"/>
      <c r="U727" s="16"/>
    </row>
    <row r="728" spans="1:21" ht="14.25" customHeight="1">
      <c r="A728" s="14"/>
      <c r="C728" s="15"/>
      <c r="J728" s="16"/>
      <c r="L728" s="16"/>
      <c r="P728" s="16"/>
      <c r="U728" s="16"/>
    </row>
    <row r="729" spans="1:21" ht="14.25" customHeight="1">
      <c r="A729" s="14"/>
      <c r="C729" s="15"/>
      <c r="J729" s="16"/>
      <c r="L729" s="16"/>
      <c r="P729" s="16"/>
      <c r="U729" s="16"/>
    </row>
    <row r="730" spans="1:21" ht="14.25" customHeight="1">
      <c r="A730" s="14"/>
      <c r="C730" s="15"/>
      <c r="J730" s="16"/>
      <c r="L730" s="16"/>
      <c r="P730" s="16"/>
      <c r="U730" s="16"/>
    </row>
    <row r="731" spans="1:21" ht="14.25" customHeight="1">
      <c r="A731" s="14"/>
      <c r="C731" s="15"/>
      <c r="J731" s="16"/>
      <c r="L731" s="16"/>
      <c r="P731" s="16"/>
      <c r="U731" s="16"/>
    </row>
    <row r="732" spans="1:21" ht="14.25" customHeight="1">
      <c r="A732" s="14"/>
      <c r="C732" s="15"/>
      <c r="J732" s="16"/>
      <c r="L732" s="16"/>
      <c r="P732" s="16"/>
      <c r="U732" s="16"/>
    </row>
    <row r="733" spans="1:21" ht="14.25" customHeight="1">
      <c r="A733" s="14"/>
      <c r="C733" s="15"/>
      <c r="J733" s="16"/>
      <c r="L733" s="16"/>
      <c r="P733" s="16"/>
      <c r="U733" s="16"/>
    </row>
    <row r="734" spans="1:21" ht="14.25" customHeight="1">
      <c r="A734" s="14"/>
      <c r="C734" s="15"/>
      <c r="J734" s="16"/>
      <c r="L734" s="16"/>
      <c r="P734" s="16"/>
      <c r="U734" s="16"/>
    </row>
    <row r="735" spans="1:21" ht="14.25" customHeight="1">
      <c r="A735" s="14"/>
      <c r="C735" s="15"/>
      <c r="J735" s="16"/>
      <c r="L735" s="16"/>
      <c r="P735" s="16"/>
      <c r="U735" s="16"/>
    </row>
    <row r="736" spans="1:21" ht="14.25" customHeight="1">
      <c r="A736" s="14"/>
      <c r="C736" s="15"/>
      <c r="J736" s="16"/>
      <c r="L736" s="16"/>
      <c r="P736" s="16"/>
      <c r="U736" s="16"/>
    </row>
    <row r="737" spans="1:21" ht="14.25" customHeight="1">
      <c r="A737" s="14"/>
      <c r="C737" s="15"/>
      <c r="J737" s="16"/>
      <c r="L737" s="16"/>
      <c r="P737" s="16"/>
      <c r="U737" s="16"/>
    </row>
    <row r="738" spans="1:21" ht="14.25" customHeight="1">
      <c r="A738" s="14"/>
      <c r="C738" s="15"/>
      <c r="J738" s="16"/>
      <c r="L738" s="16"/>
      <c r="P738" s="16"/>
      <c r="U738" s="16"/>
    </row>
    <row r="739" spans="1:21" ht="14.25" customHeight="1">
      <c r="A739" s="14"/>
      <c r="C739" s="15"/>
      <c r="J739" s="16"/>
      <c r="L739" s="16"/>
      <c r="P739" s="16"/>
      <c r="U739" s="16"/>
    </row>
    <row r="740" spans="1:21" ht="14.25" customHeight="1">
      <c r="A740" s="14"/>
      <c r="C740" s="15"/>
      <c r="J740" s="16"/>
      <c r="L740" s="16"/>
      <c r="P740" s="16"/>
      <c r="U740" s="16"/>
    </row>
    <row r="741" spans="1:21" ht="14.25" customHeight="1">
      <c r="A741" s="14"/>
      <c r="C741" s="15"/>
      <c r="J741" s="16"/>
      <c r="L741" s="16"/>
      <c r="P741" s="16"/>
      <c r="U741" s="16"/>
    </row>
    <row r="742" spans="1:21" ht="14.25" customHeight="1">
      <c r="A742" s="14"/>
      <c r="C742" s="15"/>
      <c r="J742" s="16"/>
      <c r="L742" s="16"/>
      <c r="P742" s="16"/>
      <c r="U742" s="16"/>
    </row>
    <row r="743" spans="1:21" ht="14.25" customHeight="1">
      <c r="A743" s="14"/>
      <c r="C743" s="15"/>
      <c r="J743" s="16"/>
      <c r="L743" s="16"/>
      <c r="P743" s="16"/>
      <c r="U743" s="16"/>
    </row>
    <row r="744" spans="1:21" ht="14.25" customHeight="1">
      <c r="A744" s="14"/>
      <c r="C744" s="15"/>
      <c r="J744" s="16"/>
      <c r="L744" s="16"/>
      <c r="P744" s="16"/>
      <c r="U744" s="16"/>
    </row>
    <row r="745" spans="1:21" ht="14.25" customHeight="1">
      <c r="A745" s="14"/>
      <c r="C745" s="15"/>
      <c r="J745" s="16"/>
      <c r="L745" s="16"/>
      <c r="P745" s="16"/>
      <c r="U745" s="16"/>
    </row>
    <row r="746" spans="1:21" ht="14.25" customHeight="1">
      <c r="A746" s="14"/>
      <c r="C746" s="15"/>
      <c r="J746" s="16"/>
      <c r="L746" s="16"/>
      <c r="P746" s="16"/>
      <c r="U746" s="16"/>
    </row>
    <row r="747" spans="1:21" ht="14.25" customHeight="1">
      <c r="A747" s="14"/>
      <c r="C747" s="15"/>
      <c r="J747" s="16"/>
      <c r="L747" s="16"/>
      <c r="P747" s="16"/>
      <c r="U747" s="16"/>
    </row>
    <row r="748" spans="1:21" ht="14.25" customHeight="1">
      <c r="A748" s="14"/>
      <c r="C748" s="15"/>
      <c r="J748" s="16"/>
      <c r="L748" s="16"/>
      <c r="P748" s="16"/>
      <c r="U748" s="16"/>
    </row>
    <row r="749" spans="1:21" ht="14.25" customHeight="1">
      <c r="A749" s="14"/>
      <c r="C749" s="15"/>
      <c r="J749" s="16"/>
      <c r="L749" s="16"/>
      <c r="P749" s="16"/>
      <c r="U749" s="16"/>
    </row>
    <row r="750" spans="1:21" ht="14.25" customHeight="1">
      <c r="A750" s="14"/>
      <c r="C750" s="15"/>
      <c r="J750" s="16"/>
      <c r="L750" s="16"/>
      <c r="P750" s="16"/>
      <c r="U750" s="16"/>
    </row>
    <row r="751" spans="1:21" ht="14.25" customHeight="1">
      <c r="A751" s="14"/>
      <c r="C751" s="15"/>
      <c r="J751" s="16"/>
      <c r="L751" s="16"/>
      <c r="P751" s="16"/>
      <c r="U751" s="16"/>
    </row>
    <row r="752" spans="1:21" ht="14.25" customHeight="1">
      <c r="A752" s="14"/>
      <c r="C752" s="15"/>
      <c r="J752" s="16"/>
      <c r="L752" s="16"/>
      <c r="P752" s="16"/>
      <c r="U752" s="16"/>
    </row>
    <row r="753" spans="1:21" ht="14.25" customHeight="1">
      <c r="A753" s="14"/>
      <c r="C753" s="15"/>
      <c r="J753" s="16"/>
      <c r="L753" s="16"/>
      <c r="P753" s="16"/>
      <c r="U753" s="16"/>
    </row>
    <row r="754" spans="1:21" ht="14.25" customHeight="1">
      <c r="A754" s="14"/>
      <c r="C754" s="15"/>
      <c r="J754" s="16"/>
      <c r="L754" s="16"/>
      <c r="P754" s="16"/>
      <c r="U754" s="16"/>
    </row>
    <row r="755" spans="1:21" ht="14.25" customHeight="1">
      <c r="A755" s="14"/>
      <c r="C755" s="15"/>
      <c r="J755" s="16"/>
      <c r="L755" s="16"/>
      <c r="P755" s="16"/>
      <c r="U755" s="16"/>
    </row>
    <row r="756" spans="1:21" ht="14.25" customHeight="1">
      <c r="A756" s="14"/>
      <c r="C756" s="15"/>
      <c r="J756" s="16"/>
      <c r="L756" s="16"/>
      <c r="P756" s="16"/>
      <c r="U756" s="16"/>
    </row>
    <row r="757" spans="1:21" ht="14.25" customHeight="1">
      <c r="A757" s="14"/>
      <c r="C757" s="15"/>
      <c r="J757" s="16"/>
      <c r="L757" s="16"/>
      <c r="P757" s="16"/>
      <c r="U757" s="16"/>
    </row>
    <row r="758" spans="1:21" ht="14.25" customHeight="1">
      <c r="A758" s="14"/>
      <c r="C758" s="15"/>
      <c r="J758" s="16"/>
      <c r="L758" s="16"/>
      <c r="P758" s="16"/>
      <c r="U758" s="16"/>
    </row>
    <row r="759" spans="1:21" ht="14.25" customHeight="1">
      <c r="A759" s="14"/>
      <c r="C759" s="15"/>
      <c r="J759" s="16"/>
      <c r="L759" s="16"/>
      <c r="P759" s="16"/>
      <c r="U759" s="16"/>
    </row>
    <row r="760" spans="1:21" ht="14.25" customHeight="1">
      <c r="A760" s="14"/>
      <c r="C760" s="15"/>
      <c r="J760" s="16"/>
      <c r="L760" s="16"/>
      <c r="P760" s="16"/>
      <c r="U760" s="16"/>
    </row>
    <row r="761" spans="1:21" ht="14.25" customHeight="1">
      <c r="A761" s="14"/>
      <c r="C761" s="15"/>
      <c r="J761" s="16"/>
      <c r="L761" s="16"/>
      <c r="P761" s="16"/>
      <c r="U761" s="16"/>
    </row>
    <row r="762" spans="1:21" ht="14.25" customHeight="1">
      <c r="A762" s="14"/>
      <c r="C762" s="15"/>
      <c r="J762" s="16"/>
      <c r="L762" s="16"/>
      <c r="P762" s="16"/>
      <c r="U762" s="16"/>
    </row>
    <row r="763" spans="1:21" ht="14.25" customHeight="1">
      <c r="A763" s="14"/>
      <c r="C763" s="15"/>
      <c r="J763" s="16"/>
      <c r="L763" s="16"/>
      <c r="P763" s="16"/>
      <c r="U763" s="16"/>
    </row>
    <row r="764" spans="1:21" ht="14.25" customHeight="1">
      <c r="A764" s="14"/>
      <c r="C764" s="15"/>
      <c r="J764" s="16"/>
      <c r="L764" s="16"/>
      <c r="P764" s="16"/>
      <c r="U764" s="16"/>
    </row>
    <row r="765" spans="1:21" ht="14.25" customHeight="1">
      <c r="A765" s="14"/>
      <c r="C765" s="15"/>
      <c r="J765" s="16"/>
      <c r="L765" s="16"/>
      <c r="P765" s="16"/>
      <c r="U765" s="16"/>
    </row>
    <row r="766" spans="1:21" ht="14.25" customHeight="1">
      <c r="A766" s="14"/>
      <c r="C766" s="15"/>
      <c r="J766" s="16"/>
      <c r="L766" s="16"/>
      <c r="P766" s="16"/>
      <c r="U766" s="16"/>
    </row>
    <row r="767" spans="1:21" ht="14.25" customHeight="1">
      <c r="A767" s="14"/>
      <c r="C767" s="15"/>
      <c r="J767" s="16"/>
      <c r="L767" s="16"/>
      <c r="P767" s="16"/>
      <c r="U767" s="16"/>
    </row>
    <row r="768" spans="1:21" ht="14.25" customHeight="1">
      <c r="A768" s="14"/>
      <c r="C768" s="15"/>
      <c r="J768" s="16"/>
      <c r="L768" s="16"/>
      <c r="P768" s="16"/>
      <c r="U768" s="16"/>
    </row>
    <row r="769" spans="1:21" ht="14.25" customHeight="1">
      <c r="A769" s="14"/>
      <c r="C769" s="15"/>
      <c r="J769" s="16"/>
      <c r="L769" s="16"/>
      <c r="P769" s="16"/>
      <c r="U769" s="16"/>
    </row>
    <row r="770" spans="1:21" ht="14.25" customHeight="1">
      <c r="A770" s="14"/>
      <c r="C770" s="15"/>
      <c r="J770" s="16"/>
      <c r="L770" s="16"/>
      <c r="P770" s="16"/>
      <c r="U770" s="16"/>
    </row>
    <row r="771" spans="1:21" ht="14.25" customHeight="1">
      <c r="A771" s="14"/>
      <c r="C771" s="15"/>
      <c r="J771" s="16"/>
      <c r="L771" s="16"/>
      <c r="P771" s="16"/>
      <c r="U771" s="16"/>
    </row>
    <row r="772" spans="1:21" ht="14.25" customHeight="1">
      <c r="A772" s="14"/>
      <c r="C772" s="15"/>
      <c r="J772" s="16"/>
      <c r="L772" s="16"/>
      <c r="P772" s="16"/>
      <c r="U772" s="16"/>
    </row>
    <row r="773" spans="1:21" ht="14.25" customHeight="1">
      <c r="A773" s="14"/>
      <c r="C773" s="15"/>
      <c r="J773" s="16"/>
      <c r="L773" s="16"/>
      <c r="P773" s="16"/>
      <c r="U773" s="16"/>
    </row>
    <row r="774" spans="1:21" ht="14.25" customHeight="1">
      <c r="A774" s="14"/>
      <c r="C774" s="15"/>
      <c r="J774" s="16"/>
      <c r="L774" s="16"/>
      <c r="P774" s="16"/>
      <c r="U774" s="16"/>
    </row>
    <row r="775" spans="1:21" ht="14.25" customHeight="1">
      <c r="A775" s="14"/>
      <c r="C775" s="15"/>
      <c r="J775" s="16"/>
      <c r="L775" s="16"/>
      <c r="P775" s="16"/>
      <c r="U775" s="16"/>
    </row>
    <row r="776" spans="1:21" ht="14.25" customHeight="1">
      <c r="A776" s="14"/>
      <c r="C776" s="15"/>
      <c r="J776" s="16"/>
      <c r="L776" s="16"/>
      <c r="P776" s="16"/>
      <c r="U776" s="16"/>
    </row>
    <row r="777" spans="1:21" ht="14.25" customHeight="1">
      <c r="A777" s="14"/>
      <c r="C777" s="15"/>
      <c r="J777" s="16"/>
      <c r="L777" s="16"/>
      <c r="P777" s="16"/>
      <c r="U777" s="16"/>
    </row>
    <row r="778" spans="1:21" ht="14.25" customHeight="1">
      <c r="A778" s="14"/>
      <c r="C778" s="15"/>
      <c r="J778" s="16"/>
      <c r="L778" s="16"/>
      <c r="P778" s="16"/>
      <c r="U778" s="16"/>
    </row>
    <row r="779" spans="1:21" ht="14.25" customHeight="1">
      <c r="A779" s="14"/>
      <c r="C779" s="15"/>
      <c r="J779" s="16"/>
      <c r="L779" s="16"/>
      <c r="P779" s="16"/>
      <c r="U779" s="16"/>
    </row>
    <row r="780" spans="1:21" ht="14.25" customHeight="1">
      <c r="A780" s="14"/>
      <c r="C780" s="15"/>
      <c r="J780" s="16"/>
      <c r="L780" s="16"/>
      <c r="P780" s="16"/>
      <c r="U780" s="16"/>
    </row>
    <row r="781" spans="1:21" ht="14.25" customHeight="1">
      <c r="A781" s="14"/>
      <c r="C781" s="15"/>
      <c r="J781" s="16"/>
      <c r="L781" s="16"/>
      <c r="P781" s="16"/>
      <c r="U781" s="16"/>
    </row>
    <row r="782" spans="1:21" ht="14.25" customHeight="1">
      <c r="A782" s="14"/>
      <c r="C782" s="15"/>
      <c r="J782" s="16"/>
      <c r="L782" s="16"/>
      <c r="P782" s="16"/>
      <c r="U782" s="16"/>
    </row>
    <row r="783" spans="1:21" ht="14.25" customHeight="1">
      <c r="A783" s="14"/>
      <c r="C783" s="15"/>
      <c r="J783" s="16"/>
      <c r="L783" s="16"/>
      <c r="P783" s="16"/>
      <c r="U783" s="16"/>
    </row>
    <row r="784" spans="1:21" ht="14.25" customHeight="1">
      <c r="A784" s="14"/>
      <c r="C784" s="15"/>
      <c r="J784" s="16"/>
      <c r="L784" s="16"/>
      <c r="P784" s="16"/>
      <c r="U784" s="16"/>
    </row>
    <row r="785" spans="1:21" ht="14.25" customHeight="1">
      <c r="A785" s="14"/>
      <c r="C785" s="15"/>
      <c r="J785" s="16"/>
      <c r="L785" s="16"/>
      <c r="P785" s="16"/>
      <c r="U785" s="16"/>
    </row>
    <row r="786" spans="1:21" ht="14.25" customHeight="1">
      <c r="A786" s="14"/>
      <c r="C786" s="15"/>
      <c r="J786" s="16"/>
      <c r="L786" s="16"/>
      <c r="P786" s="16"/>
      <c r="U786" s="16"/>
    </row>
    <row r="787" spans="1:21" ht="14.25" customHeight="1">
      <c r="A787" s="14"/>
      <c r="C787" s="15"/>
      <c r="J787" s="16"/>
      <c r="L787" s="16"/>
      <c r="P787" s="16"/>
      <c r="U787" s="16"/>
    </row>
    <row r="788" spans="1:21" ht="14.25" customHeight="1">
      <c r="A788" s="14"/>
      <c r="C788" s="15"/>
      <c r="J788" s="16"/>
      <c r="L788" s="16"/>
      <c r="P788" s="16"/>
      <c r="U788" s="16"/>
    </row>
    <row r="789" spans="1:21" ht="14.25" customHeight="1">
      <c r="A789" s="14"/>
      <c r="C789" s="15"/>
      <c r="J789" s="16"/>
      <c r="L789" s="16"/>
      <c r="P789" s="16"/>
      <c r="U789" s="16"/>
    </row>
    <row r="790" spans="1:21" ht="14.25" customHeight="1">
      <c r="A790" s="14"/>
      <c r="C790" s="15"/>
      <c r="J790" s="16"/>
      <c r="L790" s="16"/>
      <c r="P790" s="16"/>
      <c r="U790" s="16"/>
    </row>
    <row r="791" spans="1:21" ht="14.25" customHeight="1">
      <c r="A791" s="14"/>
      <c r="C791" s="15"/>
      <c r="J791" s="16"/>
      <c r="L791" s="16"/>
      <c r="P791" s="16"/>
      <c r="U791" s="16"/>
    </row>
    <row r="792" spans="1:21" ht="14.25" customHeight="1">
      <c r="A792" s="14"/>
      <c r="C792" s="15"/>
      <c r="J792" s="16"/>
      <c r="L792" s="16"/>
      <c r="P792" s="16"/>
      <c r="U792" s="16"/>
    </row>
    <row r="793" spans="1:21" ht="14.25" customHeight="1">
      <c r="A793" s="14"/>
      <c r="C793" s="15"/>
      <c r="J793" s="16"/>
      <c r="L793" s="16"/>
      <c r="P793" s="16"/>
      <c r="U793" s="16"/>
    </row>
    <row r="794" spans="1:21" ht="14.25" customHeight="1">
      <c r="A794" s="14"/>
      <c r="C794" s="15"/>
      <c r="J794" s="16"/>
      <c r="L794" s="16"/>
      <c r="P794" s="16"/>
      <c r="U794" s="16"/>
    </row>
    <row r="795" spans="1:21" ht="14.25" customHeight="1">
      <c r="A795" s="14"/>
      <c r="C795" s="15"/>
      <c r="J795" s="16"/>
      <c r="L795" s="16"/>
      <c r="P795" s="16"/>
      <c r="U795" s="16"/>
    </row>
    <row r="796" spans="1:21" ht="14.25" customHeight="1">
      <c r="A796" s="14"/>
      <c r="C796" s="15"/>
      <c r="J796" s="16"/>
      <c r="L796" s="16"/>
      <c r="P796" s="16"/>
      <c r="U796" s="16"/>
    </row>
    <row r="797" spans="1:21" ht="14.25" customHeight="1">
      <c r="A797" s="14"/>
      <c r="C797" s="15"/>
      <c r="J797" s="16"/>
      <c r="L797" s="16"/>
      <c r="P797" s="16"/>
      <c r="U797" s="16"/>
    </row>
    <row r="798" spans="1:21" ht="14.25" customHeight="1">
      <c r="A798" s="14"/>
      <c r="C798" s="15"/>
      <c r="J798" s="16"/>
      <c r="L798" s="16"/>
      <c r="P798" s="16"/>
      <c r="U798" s="16"/>
    </row>
    <row r="799" spans="1:21" ht="14.25" customHeight="1">
      <c r="A799" s="14"/>
      <c r="C799" s="15"/>
      <c r="J799" s="16"/>
      <c r="L799" s="16"/>
      <c r="P799" s="16"/>
      <c r="U799" s="16"/>
    </row>
    <row r="800" spans="1:21" ht="14.25" customHeight="1">
      <c r="A800" s="14"/>
      <c r="C800" s="15"/>
      <c r="J800" s="16"/>
      <c r="L800" s="16"/>
      <c r="P800" s="16"/>
      <c r="U800" s="16"/>
    </row>
    <row r="801" spans="1:21" ht="14.25" customHeight="1">
      <c r="A801" s="14"/>
      <c r="C801" s="15"/>
      <c r="J801" s="16"/>
      <c r="L801" s="16"/>
      <c r="P801" s="16"/>
      <c r="U801" s="16"/>
    </row>
    <row r="802" spans="1:21" ht="14.25" customHeight="1">
      <c r="A802" s="14"/>
      <c r="C802" s="15"/>
      <c r="J802" s="16"/>
      <c r="L802" s="16"/>
      <c r="P802" s="16"/>
      <c r="U802" s="16"/>
    </row>
    <row r="803" spans="1:21" ht="14.25" customHeight="1">
      <c r="A803" s="14"/>
      <c r="C803" s="15"/>
      <c r="J803" s="16"/>
      <c r="L803" s="16"/>
      <c r="P803" s="16"/>
      <c r="U803" s="16"/>
    </row>
    <row r="804" spans="1:21" ht="14.25" customHeight="1">
      <c r="A804" s="14"/>
      <c r="C804" s="15"/>
      <c r="J804" s="16"/>
      <c r="L804" s="16"/>
      <c r="P804" s="16"/>
      <c r="U804" s="16"/>
    </row>
    <row r="805" spans="1:21" ht="14.25" customHeight="1">
      <c r="A805" s="14"/>
      <c r="C805" s="15"/>
      <c r="J805" s="16"/>
      <c r="L805" s="16"/>
      <c r="P805" s="16"/>
      <c r="U805" s="16"/>
    </row>
    <row r="806" spans="1:21" ht="14.25" customHeight="1">
      <c r="A806" s="14"/>
      <c r="C806" s="15"/>
      <c r="J806" s="16"/>
      <c r="L806" s="16"/>
      <c r="P806" s="16"/>
      <c r="U806" s="16"/>
    </row>
    <row r="807" spans="1:21" ht="14.25" customHeight="1">
      <c r="A807" s="14"/>
      <c r="C807" s="15"/>
      <c r="J807" s="16"/>
      <c r="L807" s="16"/>
      <c r="P807" s="16"/>
      <c r="U807" s="16"/>
    </row>
    <row r="808" spans="1:21" ht="14.25" customHeight="1">
      <c r="A808" s="14"/>
      <c r="C808" s="15"/>
      <c r="J808" s="16"/>
      <c r="L808" s="16"/>
      <c r="P808" s="16"/>
      <c r="U808" s="16"/>
    </row>
    <row r="809" spans="1:21" ht="14.25" customHeight="1">
      <c r="A809" s="14"/>
      <c r="C809" s="15"/>
      <c r="J809" s="16"/>
      <c r="L809" s="16"/>
      <c r="P809" s="16"/>
      <c r="U809" s="16"/>
    </row>
    <row r="810" spans="1:21" ht="14.25" customHeight="1">
      <c r="A810" s="14"/>
      <c r="C810" s="15"/>
      <c r="J810" s="16"/>
      <c r="L810" s="16"/>
      <c r="P810" s="16"/>
      <c r="U810" s="16"/>
    </row>
    <row r="811" spans="1:21" ht="14.25" customHeight="1">
      <c r="A811" s="14"/>
      <c r="C811" s="15"/>
      <c r="J811" s="16"/>
      <c r="L811" s="16"/>
      <c r="P811" s="16"/>
      <c r="U811" s="16"/>
    </row>
    <row r="812" spans="1:21" ht="14.25" customHeight="1">
      <c r="A812" s="14"/>
      <c r="C812" s="15"/>
      <c r="J812" s="16"/>
      <c r="L812" s="16"/>
      <c r="P812" s="16"/>
      <c r="U812" s="16"/>
    </row>
    <row r="813" spans="1:21" ht="14.25" customHeight="1">
      <c r="A813" s="14"/>
      <c r="C813" s="15"/>
      <c r="J813" s="16"/>
      <c r="L813" s="16"/>
      <c r="P813" s="16"/>
      <c r="U813" s="16"/>
    </row>
    <row r="814" spans="1:21" ht="14.25" customHeight="1">
      <c r="A814" s="14"/>
      <c r="C814" s="15"/>
      <c r="J814" s="16"/>
      <c r="L814" s="16"/>
      <c r="P814" s="16"/>
      <c r="U814" s="16"/>
    </row>
    <row r="815" spans="1:21" ht="14.25" customHeight="1">
      <c r="A815" s="14"/>
      <c r="C815" s="15"/>
      <c r="J815" s="16"/>
      <c r="L815" s="16"/>
      <c r="P815" s="16"/>
      <c r="U815" s="16"/>
    </row>
    <row r="816" spans="1:21" ht="14.25" customHeight="1">
      <c r="A816" s="14"/>
      <c r="C816" s="15"/>
      <c r="J816" s="16"/>
      <c r="L816" s="16"/>
      <c r="P816" s="16"/>
      <c r="U816" s="16"/>
    </row>
    <row r="817" spans="1:21" ht="14.25" customHeight="1">
      <c r="A817" s="14"/>
      <c r="C817" s="15"/>
      <c r="J817" s="16"/>
      <c r="L817" s="16"/>
      <c r="P817" s="16"/>
      <c r="U817" s="16"/>
    </row>
    <row r="818" spans="1:21" ht="14.25" customHeight="1">
      <c r="A818" s="14"/>
      <c r="C818" s="15"/>
      <c r="J818" s="16"/>
      <c r="L818" s="16"/>
      <c r="P818" s="16"/>
      <c r="U818" s="16"/>
    </row>
    <row r="819" spans="1:21" ht="14.25" customHeight="1">
      <c r="A819" s="14"/>
      <c r="C819" s="15"/>
      <c r="J819" s="16"/>
      <c r="L819" s="16"/>
      <c r="P819" s="16"/>
      <c r="U819" s="16"/>
    </row>
    <row r="820" spans="1:21" ht="14.25" customHeight="1">
      <c r="A820" s="14"/>
      <c r="C820" s="15"/>
      <c r="J820" s="16"/>
      <c r="L820" s="16"/>
      <c r="P820" s="16"/>
      <c r="U820" s="16"/>
    </row>
    <row r="821" spans="1:21" ht="14.25" customHeight="1">
      <c r="A821" s="14"/>
      <c r="C821" s="15"/>
      <c r="J821" s="16"/>
      <c r="L821" s="16"/>
      <c r="P821" s="16"/>
      <c r="U821" s="16"/>
    </row>
    <row r="822" spans="1:21" ht="14.25" customHeight="1">
      <c r="A822" s="14"/>
      <c r="C822" s="15"/>
      <c r="J822" s="16"/>
      <c r="L822" s="16"/>
      <c r="P822" s="16"/>
      <c r="U822" s="16"/>
    </row>
    <row r="823" spans="1:21" ht="14.25" customHeight="1">
      <c r="A823" s="14"/>
      <c r="C823" s="15"/>
      <c r="J823" s="16"/>
      <c r="L823" s="16"/>
      <c r="P823" s="16"/>
      <c r="U823" s="16"/>
    </row>
    <row r="824" spans="1:21" ht="14.25" customHeight="1">
      <c r="A824" s="14"/>
      <c r="C824" s="15"/>
      <c r="J824" s="16"/>
      <c r="L824" s="16"/>
      <c r="P824" s="16"/>
      <c r="U824" s="16"/>
    </row>
    <row r="825" spans="1:21" ht="14.25" customHeight="1">
      <c r="A825" s="14"/>
      <c r="C825" s="15"/>
      <c r="J825" s="16"/>
      <c r="L825" s="16"/>
      <c r="P825" s="16"/>
      <c r="U825" s="16"/>
    </row>
    <row r="826" spans="1:21" ht="14.25" customHeight="1">
      <c r="A826" s="14"/>
      <c r="C826" s="15"/>
      <c r="J826" s="16"/>
      <c r="L826" s="16"/>
      <c r="P826" s="16"/>
      <c r="U826" s="16"/>
    </row>
    <row r="827" spans="1:21" ht="14.25" customHeight="1">
      <c r="A827" s="14"/>
      <c r="C827" s="15"/>
      <c r="J827" s="16"/>
      <c r="L827" s="16"/>
      <c r="P827" s="16"/>
      <c r="U827" s="16"/>
    </row>
    <row r="828" spans="1:21" ht="14.25" customHeight="1">
      <c r="A828" s="14"/>
      <c r="C828" s="15"/>
      <c r="J828" s="16"/>
      <c r="L828" s="16"/>
      <c r="P828" s="16"/>
      <c r="U828" s="16"/>
    </row>
    <row r="829" spans="1:21" ht="14.25" customHeight="1">
      <c r="A829" s="14"/>
      <c r="C829" s="15"/>
      <c r="J829" s="16"/>
      <c r="L829" s="16"/>
      <c r="P829" s="16"/>
      <c r="U829" s="16"/>
    </row>
    <row r="830" spans="1:21" ht="14.25" customHeight="1">
      <c r="A830" s="14"/>
      <c r="C830" s="15"/>
      <c r="J830" s="16"/>
      <c r="L830" s="16"/>
      <c r="P830" s="16"/>
      <c r="U830" s="16"/>
    </row>
    <row r="831" spans="1:21" ht="14.25" customHeight="1">
      <c r="A831" s="14"/>
      <c r="C831" s="15"/>
      <c r="J831" s="16"/>
      <c r="L831" s="16"/>
      <c r="P831" s="16"/>
      <c r="U831" s="16"/>
    </row>
    <row r="832" spans="1:21" ht="14.25" customHeight="1">
      <c r="A832" s="14"/>
      <c r="C832" s="15"/>
      <c r="J832" s="16"/>
      <c r="L832" s="16"/>
      <c r="P832" s="16"/>
      <c r="U832" s="16"/>
    </row>
    <row r="833" spans="1:21" ht="14.25" customHeight="1">
      <c r="A833" s="14"/>
      <c r="C833" s="15"/>
      <c r="J833" s="16"/>
      <c r="L833" s="16"/>
      <c r="P833" s="16"/>
      <c r="U833" s="16"/>
    </row>
    <row r="834" spans="1:21" ht="14.25" customHeight="1">
      <c r="A834" s="14"/>
      <c r="C834" s="15"/>
      <c r="J834" s="16"/>
      <c r="L834" s="16"/>
      <c r="P834" s="16"/>
      <c r="U834" s="16"/>
    </row>
    <row r="835" spans="1:21" ht="14.25" customHeight="1">
      <c r="A835" s="14"/>
      <c r="C835" s="15"/>
      <c r="J835" s="16"/>
      <c r="L835" s="16"/>
      <c r="P835" s="16"/>
      <c r="U835" s="16"/>
    </row>
    <row r="836" spans="1:21" ht="14.25" customHeight="1">
      <c r="A836" s="14"/>
      <c r="C836" s="15"/>
      <c r="J836" s="16"/>
      <c r="L836" s="16"/>
      <c r="P836" s="16"/>
      <c r="U836" s="16"/>
    </row>
    <row r="837" spans="1:21" ht="14.25" customHeight="1">
      <c r="A837" s="14"/>
      <c r="C837" s="15"/>
      <c r="J837" s="16"/>
      <c r="L837" s="16"/>
      <c r="P837" s="16"/>
      <c r="U837" s="16"/>
    </row>
    <row r="838" spans="1:21" ht="14.25" customHeight="1">
      <c r="A838" s="14"/>
      <c r="C838" s="15"/>
      <c r="J838" s="16"/>
      <c r="L838" s="16"/>
      <c r="P838" s="16"/>
      <c r="U838" s="16"/>
    </row>
    <row r="839" spans="1:21" ht="14.25" customHeight="1">
      <c r="A839" s="14"/>
      <c r="C839" s="15"/>
      <c r="J839" s="16"/>
      <c r="L839" s="16"/>
      <c r="P839" s="16"/>
      <c r="U839" s="16"/>
    </row>
    <row r="840" spans="1:21" ht="14.25" customHeight="1">
      <c r="A840" s="14"/>
      <c r="C840" s="15"/>
      <c r="J840" s="16"/>
      <c r="L840" s="16"/>
      <c r="P840" s="16"/>
      <c r="U840" s="16"/>
    </row>
    <row r="841" spans="1:21" ht="14.25" customHeight="1">
      <c r="A841" s="14"/>
      <c r="C841" s="15"/>
      <c r="J841" s="16"/>
      <c r="L841" s="16"/>
      <c r="P841" s="16"/>
      <c r="U841" s="16"/>
    </row>
    <row r="842" spans="1:21" ht="14.25" customHeight="1">
      <c r="A842" s="14"/>
      <c r="C842" s="15"/>
      <c r="J842" s="16"/>
      <c r="L842" s="16"/>
      <c r="P842" s="16"/>
      <c r="U842" s="16"/>
    </row>
    <row r="843" spans="1:21" ht="14.25" customHeight="1">
      <c r="A843" s="14"/>
      <c r="C843" s="15"/>
      <c r="J843" s="16"/>
      <c r="L843" s="16"/>
      <c r="P843" s="16"/>
      <c r="U843" s="16"/>
    </row>
    <row r="844" spans="1:21" ht="14.25" customHeight="1">
      <c r="A844" s="14"/>
      <c r="C844" s="15"/>
      <c r="J844" s="16"/>
      <c r="L844" s="16"/>
      <c r="P844" s="16"/>
      <c r="U844" s="16"/>
    </row>
    <row r="845" spans="1:21" ht="14.25" customHeight="1">
      <c r="A845" s="14"/>
      <c r="C845" s="15"/>
      <c r="J845" s="16"/>
      <c r="L845" s="16"/>
      <c r="P845" s="16"/>
      <c r="U845" s="16"/>
    </row>
    <row r="846" spans="1:21" ht="14.25" customHeight="1">
      <c r="A846" s="14"/>
      <c r="C846" s="15"/>
      <c r="J846" s="16"/>
      <c r="L846" s="16"/>
      <c r="P846" s="16"/>
      <c r="U846" s="16"/>
    </row>
    <row r="847" spans="1:21" ht="14.25" customHeight="1">
      <c r="A847" s="14"/>
      <c r="C847" s="15"/>
      <c r="J847" s="16"/>
      <c r="L847" s="16"/>
      <c r="P847" s="16"/>
      <c r="U847" s="16"/>
    </row>
    <row r="848" spans="1:21" ht="14.25" customHeight="1">
      <c r="A848" s="14"/>
      <c r="C848" s="15"/>
      <c r="J848" s="16"/>
      <c r="L848" s="16"/>
      <c r="P848" s="16"/>
      <c r="U848" s="16"/>
    </row>
    <row r="849" spans="1:21" ht="14.25" customHeight="1">
      <c r="A849" s="14"/>
      <c r="C849" s="15"/>
      <c r="J849" s="16"/>
      <c r="L849" s="16"/>
      <c r="P849" s="16"/>
      <c r="U849" s="16"/>
    </row>
    <row r="850" spans="1:21" ht="14.25" customHeight="1">
      <c r="A850" s="14"/>
      <c r="C850" s="15"/>
      <c r="J850" s="16"/>
      <c r="L850" s="16"/>
      <c r="P850" s="16"/>
      <c r="U850" s="16"/>
    </row>
    <row r="851" spans="1:21" ht="14.25" customHeight="1">
      <c r="A851" s="14"/>
      <c r="C851" s="15"/>
      <c r="J851" s="16"/>
      <c r="L851" s="16"/>
      <c r="P851" s="16"/>
      <c r="U851" s="16"/>
    </row>
    <row r="852" spans="1:21" ht="14.25" customHeight="1">
      <c r="A852" s="14"/>
      <c r="C852" s="15"/>
      <c r="J852" s="16"/>
      <c r="L852" s="16"/>
      <c r="P852" s="16"/>
      <c r="U852" s="16"/>
    </row>
    <row r="853" spans="1:21" ht="14.25" customHeight="1">
      <c r="A853" s="14"/>
      <c r="C853" s="15"/>
      <c r="J853" s="16"/>
      <c r="L853" s="16"/>
      <c r="P853" s="16"/>
      <c r="U853" s="16"/>
    </row>
    <row r="854" spans="1:21" ht="14.25" customHeight="1">
      <c r="A854" s="14"/>
      <c r="C854" s="15"/>
      <c r="J854" s="16"/>
      <c r="L854" s="16"/>
      <c r="P854" s="16"/>
      <c r="U854" s="16"/>
    </row>
    <row r="855" spans="1:21" ht="14.25" customHeight="1">
      <c r="A855" s="14"/>
      <c r="C855" s="15"/>
      <c r="J855" s="16"/>
      <c r="L855" s="16"/>
      <c r="P855" s="16"/>
      <c r="U855" s="16"/>
    </row>
    <row r="856" spans="1:21" ht="14.25" customHeight="1">
      <c r="A856" s="14"/>
      <c r="C856" s="15"/>
      <c r="J856" s="16"/>
      <c r="L856" s="16"/>
      <c r="P856" s="16"/>
      <c r="U856" s="16"/>
    </row>
    <row r="857" spans="1:21" ht="14.25" customHeight="1">
      <c r="A857" s="14"/>
      <c r="C857" s="15"/>
      <c r="J857" s="16"/>
      <c r="L857" s="16"/>
      <c r="P857" s="16"/>
      <c r="U857" s="16"/>
    </row>
    <row r="858" spans="1:21" ht="14.25" customHeight="1">
      <c r="A858" s="14"/>
      <c r="C858" s="15"/>
      <c r="J858" s="16"/>
      <c r="L858" s="16"/>
      <c r="P858" s="16"/>
      <c r="U858" s="16"/>
    </row>
    <row r="859" spans="1:21" ht="14.25" customHeight="1">
      <c r="A859" s="14"/>
      <c r="C859" s="15"/>
      <c r="J859" s="16"/>
      <c r="L859" s="16"/>
      <c r="P859" s="16"/>
      <c r="U859" s="16"/>
    </row>
    <row r="860" spans="1:21" ht="14.25" customHeight="1">
      <c r="A860" s="14"/>
      <c r="C860" s="15"/>
      <c r="J860" s="16"/>
      <c r="L860" s="16"/>
      <c r="P860" s="16"/>
      <c r="U860" s="16"/>
    </row>
    <row r="861" spans="1:21" ht="14.25" customHeight="1">
      <c r="A861" s="14"/>
      <c r="C861" s="15"/>
      <c r="J861" s="16"/>
      <c r="L861" s="16"/>
      <c r="P861" s="16"/>
      <c r="U861" s="16"/>
    </row>
    <row r="862" spans="1:21" ht="14.25" customHeight="1">
      <c r="A862" s="14"/>
      <c r="C862" s="15"/>
      <c r="J862" s="16"/>
      <c r="L862" s="16"/>
      <c r="P862" s="16"/>
      <c r="U862" s="16"/>
    </row>
    <row r="863" spans="1:21" ht="14.25" customHeight="1">
      <c r="A863" s="14"/>
      <c r="C863" s="15"/>
      <c r="J863" s="16"/>
      <c r="L863" s="16"/>
      <c r="P863" s="16"/>
      <c r="U863" s="16"/>
    </row>
    <row r="864" spans="1:21" ht="14.25" customHeight="1">
      <c r="A864" s="14"/>
      <c r="C864" s="15"/>
      <c r="J864" s="16"/>
      <c r="L864" s="16"/>
      <c r="P864" s="16"/>
      <c r="U864" s="16"/>
    </row>
    <row r="865" spans="1:21" ht="14.25" customHeight="1">
      <c r="A865" s="14"/>
      <c r="C865" s="15"/>
      <c r="J865" s="16"/>
      <c r="L865" s="16"/>
      <c r="P865" s="16"/>
      <c r="U865" s="16"/>
    </row>
    <row r="866" spans="1:21" ht="14.25" customHeight="1">
      <c r="A866" s="14"/>
      <c r="C866" s="15"/>
      <c r="J866" s="16"/>
      <c r="L866" s="16"/>
      <c r="P866" s="16"/>
      <c r="U866" s="16"/>
    </row>
    <row r="867" spans="1:21" ht="14.25" customHeight="1">
      <c r="A867" s="14"/>
      <c r="C867" s="15"/>
      <c r="J867" s="16"/>
      <c r="L867" s="16"/>
      <c r="P867" s="16"/>
      <c r="U867" s="16"/>
    </row>
    <row r="868" spans="1:21" ht="14.25" customHeight="1">
      <c r="A868" s="14"/>
      <c r="C868" s="15"/>
      <c r="J868" s="16"/>
      <c r="L868" s="16"/>
      <c r="P868" s="16"/>
      <c r="U868" s="16"/>
    </row>
    <row r="869" spans="1:21" ht="14.25" customHeight="1">
      <c r="A869" s="14"/>
      <c r="C869" s="15"/>
      <c r="J869" s="16"/>
      <c r="L869" s="16"/>
      <c r="P869" s="16"/>
      <c r="U869" s="16"/>
    </row>
    <row r="870" spans="1:21" ht="14.25" customHeight="1">
      <c r="A870" s="14"/>
      <c r="C870" s="15"/>
      <c r="J870" s="16"/>
      <c r="L870" s="16"/>
      <c r="P870" s="16"/>
      <c r="U870" s="16"/>
    </row>
    <row r="871" spans="1:21" ht="14.25" customHeight="1">
      <c r="A871" s="14"/>
      <c r="C871" s="15"/>
      <c r="J871" s="16"/>
      <c r="L871" s="16"/>
      <c r="P871" s="16"/>
      <c r="U871" s="16"/>
    </row>
    <row r="872" spans="1:21" ht="14.25" customHeight="1">
      <c r="A872" s="14"/>
      <c r="C872" s="15"/>
      <c r="J872" s="16"/>
      <c r="L872" s="16"/>
      <c r="P872" s="16"/>
      <c r="U872" s="16"/>
    </row>
    <row r="873" spans="1:21" ht="14.25" customHeight="1">
      <c r="A873" s="14"/>
      <c r="C873" s="15"/>
      <c r="J873" s="16"/>
      <c r="L873" s="16"/>
      <c r="P873" s="16"/>
      <c r="U873" s="16"/>
    </row>
    <row r="874" spans="1:21" ht="14.25" customHeight="1">
      <c r="A874" s="14"/>
      <c r="C874" s="15"/>
      <c r="J874" s="16"/>
      <c r="L874" s="16"/>
      <c r="P874" s="16"/>
      <c r="U874" s="16"/>
    </row>
    <row r="875" spans="1:21" ht="14.25" customHeight="1">
      <c r="A875" s="14"/>
      <c r="C875" s="15"/>
      <c r="J875" s="16"/>
      <c r="L875" s="16"/>
      <c r="P875" s="16"/>
      <c r="U875" s="16"/>
    </row>
    <row r="876" spans="1:21" ht="14.25" customHeight="1">
      <c r="A876" s="14"/>
      <c r="C876" s="15"/>
      <c r="J876" s="16"/>
      <c r="L876" s="16"/>
      <c r="P876" s="16"/>
      <c r="U876" s="16"/>
    </row>
    <row r="877" spans="1:21" ht="14.25" customHeight="1">
      <c r="A877" s="14"/>
      <c r="C877" s="15"/>
      <c r="J877" s="16"/>
      <c r="L877" s="16"/>
      <c r="P877" s="16"/>
      <c r="U877" s="16"/>
    </row>
    <row r="878" spans="1:21" ht="14.25" customHeight="1">
      <c r="A878" s="14"/>
      <c r="C878" s="15"/>
      <c r="J878" s="16"/>
      <c r="L878" s="16"/>
      <c r="P878" s="16"/>
      <c r="U878" s="16"/>
    </row>
    <row r="879" spans="1:21" ht="14.25" customHeight="1">
      <c r="A879" s="14"/>
      <c r="C879" s="15"/>
      <c r="J879" s="16"/>
      <c r="L879" s="16"/>
      <c r="P879" s="16"/>
      <c r="U879" s="16"/>
    </row>
    <row r="880" spans="1:21" ht="14.25" customHeight="1">
      <c r="A880" s="14"/>
      <c r="C880" s="15"/>
      <c r="J880" s="16"/>
      <c r="L880" s="16"/>
      <c r="P880" s="16"/>
      <c r="U880" s="16"/>
    </row>
    <row r="881" spans="1:21" ht="14.25" customHeight="1">
      <c r="A881" s="14"/>
      <c r="C881" s="15"/>
      <c r="J881" s="16"/>
      <c r="L881" s="16"/>
      <c r="P881" s="16"/>
      <c r="U881" s="16"/>
    </row>
    <row r="882" spans="1:21" ht="14.25" customHeight="1">
      <c r="A882" s="14"/>
      <c r="C882" s="15"/>
      <c r="J882" s="16"/>
      <c r="L882" s="16"/>
      <c r="P882" s="16"/>
      <c r="U882" s="16"/>
    </row>
    <row r="883" spans="1:21" ht="14.25" customHeight="1">
      <c r="A883" s="14"/>
      <c r="C883" s="15"/>
      <c r="J883" s="16"/>
      <c r="L883" s="16"/>
      <c r="P883" s="16"/>
      <c r="U883" s="16"/>
    </row>
    <row r="884" spans="1:21" ht="14.25" customHeight="1">
      <c r="A884" s="14"/>
      <c r="C884" s="15"/>
      <c r="J884" s="16"/>
      <c r="L884" s="16"/>
      <c r="P884" s="16"/>
      <c r="U884" s="16"/>
    </row>
    <row r="885" spans="1:21" ht="14.25" customHeight="1">
      <c r="A885" s="14"/>
      <c r="C885" s="15"/>
      <c r="J885" s="16"/>
      <c r="L885" s="16"/>
      <c r="P885" s="16"/>
      <c r="U885" s="16"/>
    </row>
    <row r="886" spans="1:21" ht="14.25" customHeight="1">
      <c r="A886" s="14"/>
      <c r="C886" s="15"/>
      <c r="J886" s="16"/>
      <c r="L886" s="16"/>
      <c r="P886" s="16"/>
      <c r="U886" s="16"/>
    </row>
    <row r="887" spans="1:21" ht="14.25" customHeight="1">
      <c r="A887" s="14"/>
      <c r="C887" s="15"/>
      <c r="J887" s="16"/>
      <c r="L887" s="16"/>
      <c r="P887" s="16"/>
      <c r="U887" s="16"/>
    </row>
    <row r="888" spans="1:21" ht="14.25" customHeight="1">
      <c r="A888" s="14"/>
      <c r="C888" s="15"/>
      <c r="J888" s="16"/>
      <c r="L888" s="16"/>
      <c r="P888" s="16"/>
      <c r="U888" s="16"/>
    </row>
    <row r="889" spans="1:21" ht="14.25" customHeight="1">
      <c r="A889" s="14"/>
      <c r="C889" s="15"/>
      <c r="J889" s="16"/>
      <c r="L889" s="16"/>
      <c r="P889" s="16"/>
      <c r="U889" s="16"/>
    </row>
    <row r="890" spans="1:21" ht="14.25" customHeight="1">
      <c r="A890" s="14"/>
      <c r="C890" s="15"/>
      <c r="J890" s="16"/>
      <c r="L890" s="16"/>
      <c r="P890" s="16"/>
      <c r="U890" s="16"/>
    </row>
    <row r="891" spans="1:21" ht="14.25" customHeight="1">
      <c r="A891" s="14"/>
      <c r="C891" s="15"/>
      <c r="J891" s="16"/>
      <c r="L891" s="16"/>
      <c r="P891" s="16"/>
      <c r="U891" s="16"/>
    </row>
    <row r="892" spans="1:21" ht="14.25" customHeight="1">
      <c r="A892" s="14"/>
      <c r="C892" s="15"/>
      <c r="J892" s="16"/>
      <c r="L892" s="16"/>
      <c r="P892" s="16"/>
      <c r="U892" s="16"/>
    </row>
    <row r="893" spans="1:21" ht="14.25" customHeight="1">
      <c r="A893" s="14"/>
      <c r="C893" s="15"/>
      <c r="J893" s="16"/>
      <c r="L893" s="16"/>
      <c r="P893" s="16"/>
      <c r="U893" s="16"/>
    </row>
    <row r="894" spans="1:21" ht="14.25" customHeight="1">
      <c r="A894" s="14"/>
      <c r="C894" s="15"/>
      <c r="J894" s="16"/>
      <c r="L894" s="16"/>
      <c r="P894" s="16"/>
      <c r="U894" s="16"/>
    </row>
    <row r="895" spans="1:21" ht="14.25" customHeight="1">
      <c r="A895" s="14"/>
      <c r="C895" s="15"/>
      <c r="J895" s="16"/>
      <c r="L895" s="16"/>
      <c r="P895" s="16"/>
      <c r="U895" s="16"/>
    </row>
    <row r="896" spans="1:21" ht="14.25" customHeight="1">
      <c r="A896" s="14"/>
      <c r="C896" s="15"/>
      <c r="J896" s="16"/>
      <c r="L896" s="16"/>
      <c r="P896" s="16"/>
      <c r="U896" s="16"/>
    </row>
    <row r="897" spans="1:21" ht="14.25" customHeight="1">
      <c r="A897" s="14"/>
      <c r="C897" s="15"/>
      <c r="J897" s="16"/>
      <c r="L897" s="16"/>
      <c r="P897" s="16"/>
      <c r="U897" s="16"/>
    </row>
    <row r="898" spans="1:21" ht="14.25" customHeight="1">
      <c r="A898" s="14"/>
      <c r="C898" s="15"/>
      <c r="J898" s="16"/>
      <c r="L898" s="16"/>
      <c r="P898" s="16"/>
      <c r="U898" s="16"/>
    </row>
    <row r="899" spans="1:21" ht="14.25" customHeight="1">
      <c r="A899" s="14"/>
      <c r="C899" s="15"/>
      <c r="J899" s="16"/>
      <c r="L899" s="16"/>
      <c r="P899" s="16"/>
      <c r="U899" s="16"/>
    </row>
    <row r="900" spans="1:21" ht="14.25" customHeight="1">
      <c r="A900" s="14"/>
      <c r="C900" s="15"/>
      <c r="J900" s="16"/>
      <c r="L900" s="16"/>
      <c r="P900" s="16"/>
      <c r="U900" s="16"/>
    </row>
    <row r="901" spans="1:21" ht="14.25" customHeight="1">
      <c r="A901" s="14"/>
      <c r="C901" s="15"/>
      <c r="J901" s="16"/>
      <c r="L901" s="16"/>
      <c r="P901" s="16"/>
      <c r="U901" s="16"/>
    </row>
    <row r="902" spans="1:21" ht="14.25" customHeight="1">
      <c r="A902" s="14"/>
      <c r="C902" s="15"/>
      <c r="J902" s="16"/>
      <c r="L902" s="16"/>
      <c r="P902" s="16"/>
      <c r="U902" s="16"/>
    </row>
    <row r="903" spans="1:21" ht="14.25" customHeight="1">
      <c r="A903" s="14"/>
      <c r="C903" s="15"/>
      <c r="J903" s="16"/>
      <c r="L903" s="16"/>
      <c r="P903" s="16"/>
      <c r="U903" s="16"/>
    </row>
    <row r="904" spans="1:21" ht="14.25" customHeight="1">
      <c r="A904" s="14"/>
      <c r="C904" s="15"/>
      <c r="J904" s="16"/>
      <c r="L904" s="16"/>
      <c r="P904" s="16"/>
      <c r="U904" s="16"/>
    </row>
    <row r="905" spans="1:21" ht="14.25" customHeight="1">
      <c r="A905" s="14"/>
      <c r="C905" s="15"/>
      <c r="J905" s="16"/>
      <c r="L905" s="16"/>
      <c r="P905" s="16"/>
      <c r="U905" s="16"/>
    </row>
    <row r="906" spans="1:21" ht="14.25" customHeight="1">
      <c r="A906" s="14"/>
      <c r="C906" s="15"/>
      <c r="J906" s="16"/>
      <c r="L906" s="16"/>
      <c r="P906" s="16"/>
      <c r="U906" s="16"/>
    </row>
    <row r="907" spans="1:21" ht="14.25" customHeight="1">
      <c r="A907" s="14"/>
      <c r="C907" s="15"/>
      <c r="J907" s="16"/>
      <c r="L907" s="16"/>
      <c r="P907" s="16"/>
      <c r="U907" s="16"/>
    </row>
    <row r="908" spans="1:21" ht="14.25" customHeight="1">
      <c r="A908" s="14"/>
      <c r="C908" s="15"/>
      <c r="J908" s="16"/>
      <c r="L908" s="16"/>
      <c r="P908" s="16"/>
      <c r="U908" s="16"/>
    </row>
    <row r="909" spans="1:21" ht="14.25" customHeight="1">
      <c r="A909" s="14"/>
      <c r="C909" s="15"/>
      <c r="J909" s="16"/>
      <c r="L909" s="16"/>
      <c r="P909" s="16"/>
      <c r="U909" s="16"/>
    </row>
    <row r="910" spans="1:21" ht="14.25" customHeight="1">
      <c r="A910" s="14"/>
      <c r="C910" s="15"/>
      <c r="J910" s="16"/>
      <c r="L910" s="16"/>
      <c r="P910" s="16"/>
      <c r="U910" s="16"/>
    </row>
    <row r="911" spans="1:21" ht="14.25" customHeight="1">
      <c r="A911" s="14"/>
      <c r="C911" s="15"/>
      <c r="J911" s="16"/>
      <c r="L911" s="16"/>
      <c r="P911" s="16"/>
      <c r="U911" s="16"/>
    </row>
    <row r="912" spans="1:21" ht="14.25" customHeight="1">
      <c r="A912" s="14"/>
      <c r="C912" s="15"/>
      <c r="J912" s="16"/>
      <c r="L912" s="16"/>
      <c r="P912" s="16"/>
      <c r="U912" s="16"/>
    </row>
    <row r="913" spans="1:21" ht="14.25" customHeight="1">
      <c r="A913" s="14"/>
      <c r="C913" s="15"/>
      <c r="J913" s="16"/>
      <c r="L913" s="16"/>
      <c r="P913" s="16"/>
      <c r="U913" s="16"/>
    </row>
    <row r="914" spans="1:21" ht="14.25" customHeight="1">
      <c r="A914" s="14"/>
      <c r="C914" s="15"/>
      <c r="J914" s="16"/>
      <c r="L914" s="16"/>
      <c r="P914" s="16"/>
      <c r="U914" s="16"/>
    </row>
    <row r="915" spans="1:21" ht="14.25" customHeight="1">
      <c r="A915" s="14"/>
      <c r="C915" s="15"/>
      <c r="J915" s="16"/>
      <c r="L915" s="16"/>
      <c r="P915" s="16"/>
      <c r="U915" s="16"/>
    </row>
    <row r="916" spans="1:21" ht="14.25" customHeight="1">
      <c r="A916" s="14"/>
      <c r="C916" s="15"/>
      <c r="J916" s="16"/>
      <c r="L916" s="16"/>
      <c r="P916" s="16"/>
      <c r="U916" s="16"/>
    </row>
    <row r="917" spans="1:21" ht="14.25" customHeight="1">
      <c r="A917" s="14"/>
      <c r="C917" s="15"/>
      <c r="J917" s="16"/>
      <c r="L917" s="16"/>
      <c r="P917" s="16"/>
      <c r="U917" s="16"/>
    </row>
    <row r="918" spans="1:21" ht="14.25" customHeight="1">
      <c r="A918" s="14"/>
      <c r="C918" s="15"/>
      <c r="J918" s="16"/>
      <c r="L918" s="16"/>
      <c r="P918" s="16"/>
      <c r="U918" s="16"/>
    </row>
    <row r="919" spans="1:21" ht="14.25" customHeight="1">
      <c r="A919" s="14"/>
      <c r="C919" s="15"/>
      <c r="J919" s="16"/>
      <c r="L919" s="16"/>
      <c r="P919" s="16"/>
      <c r="U919" s="16"/>
    </row>
    <row r="920" spans="1:21" ht="14.25" customHeight="1">
      <c r="A920" s="14"/>
      <c r="C920" s="15"/>
      <c r="J920" s="16"/>
      <c r="L920" s="16"/>
      <c r="P920" s="16"/>
      <c r="U920" s="16"/>
    </row>
    <row r="921" spans="1:21" ht="14.25" customHeight="1">
      <c r="A921" s="14"/>
      <c r="C921" s="15"/>
      <c r="J921" s="16"/>
      <c r="L921" s="16"/>
      <c r="P921" s="16"/>
      <c r="U921" s="16"/>
    </row>
    <row r="922" spans="1:21" ht="14.25" customHeight="1">
      <c r="A922" s="14"/>
      <c r="C922" s="15"/>
      <c r="J922" s="16"/>
      <c r="L922" s="16"/>
      <c r="P922" s="16"/>
      <c r="U922" s="16"/>
    </row>
    <row r="923" spans="1:21" ht="14.25" customHeight="1">
      <c r="A923" s="14"/>
      <c r="C923" s="15"/>
      <c r="J923" s="16"/>
      <c r="L923" s="16"/>
      <c r="P923" s="16"/>
      <c r="U923" s="16"/>
    </row>
    <row r="924" spans="1:21" ht="14.25" customHeight="1">
      <c r="A924" s="14"/>
      <c r="C924" s="15"/>
      <c r="J924" s="16"/>
      <c r="L924" s="16"/>
      <c r="P924" s="16"/>
      <c r="U924" s="16"/>
    </row>
    <row r="925" spans="1:21" ht="14.25" customHeight="1">
      <c r="A925" s="14"/>
      <c r="C925" s="15"/>
      <c r="J925" s="16"/>
      <c r="L925" s="16"/>
      <c r="P925" s="16"/>
      <c r="U925" s="16"/>
    </row>
    <row r="926" spans="1:21" ht="14.25" customHeight="1">
      <c r="A926" s="14"/>
      <c r="C926" s="15"/>
      <c r="J926" s="16"/>
      <c r="L926" s="16"/>
      <c r="P926" s="16"/>
      <c r="U926" s="16"/>
    </row>
    <row r="927" spans="1:21" ht="14.25" customHeight="1">
      <c r="A927" s="14"/>
      <c r="C927" s="15"/>
      <c r="J927" s="16"/>
      <c r="L927" s="16"/>
      <c r="P927" s="16"/>
      <c r="U927" s="16"/>
    </row>
    <row r="928" spans="1:21" ht="14.25" customHeight="1">
      <c r="A928" s="14"/>
      <c r="C928" s="15"/>
      <c r="J928" s="16"/>
      <c r="L928" s="16"/>
      <c r="P928" s="16"/>
      <c r="U928" s="16"/>
    </row>
    <row r="929" spans="1:21" ht="14.25" customHeight="1">
      <c r="A929" s="14"/>
      <c r="C929" s="15"/>
      <c r="J929" s="16"/>
      <c r="L929" s="16"/>
      <c r="P929" s="16"/>
      <c r="U929" s="16"/>
    </row>
    <row r="930" spans="1:21" ht="14.25" customHeight="1">
      <c r="A930" s="14"/>
      <c r="C930" s="15"/>
      <c r="J930" s="16"/>
      <c r="L930" s="16"/>
      <c r="P930" s="16"/>
      <c r="U930" s="16"/>
    </row>
    <row r="931" spans="1:21" ht="14.25" customHeight="1">
      <c r="A931" s="14"/>
      <c r="C931" s="15"/>
      <c r="J931" s="16"/>
      <c r="L931" s="16"/>
      <c r="P931" s="16"/>
      <c r="U931" s="16"/>
    </row>
    <row r="932" spans="1:21" ht="14.25" customHeight="1">
      <c r="A932" s="14"/>
      <c r="C932" s="15"/>
      <c r="J932" s="16"/>
      <c r="L932" s="16"/>
      <c r="P932" s="16"/>
      <c r="U932" s="16"/>
    </row>
    <row r="933" spans="1:21" ht="14.25" customHeight="1">
      <c r="A933" s="14"/>
      <c r="C933" s="15"/>
      <c r="J933" s="16"/>
      <c r="L933" s="16"/>
      <c r="P933" s="16"/>
      <c r="U933" s="16"/>
    </row>
    <row r="934" spans="1:21" ht="14.25" customHeight="1">
      <c r="A934" s="14"/>
      <c r="C934" s="15"/>
      <c r="J934" s="16"/>
      <c r="L934" s="16"/>
      <c r="P934" s="16"/>
      <c r="U934" s="16"/>
    </row>
    <row r="935" spans="1:21" ht="14.25" customHeight="1">
      <c r="A935" s="14"/>
      <c r="C935" s="15"/>
      <c r="J935" s="16"/>
      <c r="L935" s="16"/>
      <c r="P935" s="16"/>
      <c r="U935" s="16"/>
    </row>
    <row r="936" spans="1:21" ht="14.25" customHeight="1">
      <c r="A936" s="14"/>
      <c r="C936" s="15"/>
      <c r="J936" s="16"/>
      <c r="L936" s="16"/>
      <c r="P936" s="16"/>
      <c r="U936" s="16"/>
    </row>
    <row r="937" spans="1:21" ht="14.25" customHeight="1">
      <c r="A937" s="14"/>
      <c r="C937" s="15"/>
      <c r="J937" s="16"/>
      <c r="L937" s="16"/>
      <c r="P937" s="16"/>
      <c r="U937" s="16"/>
    </row>
    <row r="938" spans="1:21" ht="14.25" customHeight="1">
      <c r="A938" s="14"/>
      <c r="C938" s="15"/>
      <c r="J938" s="16"/>
      <c r="L938" s="16"/>
      <c r="P938" s="16"/>
      <c r="U938" s="16"/>
    </row>
    <row r="939" spans="1:21" ht="14.25" customHeight="1">
      <c r="A939" s="14"/>
      <c r="C939" s="15"/>
      <c r="J939" s="16"/>
      <c r="L939" s="16"/>
      <c r="P939" s="16"/>
      <c r="U939" s="16"/>
    </row>
    <row r="940" spans="1:21" ht="14.25" customHeight="1">
      <c r="A940" s="14"/>
      <c r="C940" s="15"/>
      <c r="J940" s="16"/>
      <c r="L940" s="16"/>
      <c r="P940" s="16"/>
      <c r="U940" s="16"/>
    </row>
    <row r="941" spans="1:21" ht="14.25" customHeight="1">
      <c r="A941" s="14"/>
      <c r="C941" s="15"/>
      <c r="J941" s="16"/>
      <c r="L941" s="16"/>
      <c r="P941" s="16"/>
      <c r="U941" s="16"/>
    </row>
    <row r="942" spans="1:21" ht="14.25" customHeight="1">
      <c r="A942" s="14"/>
      <c r="C942" s="15"/>
      <c r="J942" s="16"/>
      <c r="L942" s="16"/>
      <c r="P942" s="16"/>
      <c r="U942" s="16"/>
    </row>
    <row r="943" spans="1:21" ht="14.25" customHeight="1">
      <c r="A943" s="14"/>
      <c r="C943" s="15"/>
      <c r="J943" s="16"/>
      <c r="L943" s="16"/>
      <c r="P943" s="16"/>
      <c r="U943" s="16"/>
    </row>
    <row r="944" spans="1:21" ht="14.25" customHeight="1">
      <c r="A944" s="14"/>
      <c r="C944" s="15"/>
      <c r="J944" s="16"/>
      <c r="L944" s="16"/>
      <c r="P944" s="16"/>
      <c r="U944" s="16"/>
    </row>
    <row r="945" spans="1:21" ht="14.25" customHeight="1">
      <c r="A945" s="14"/>
      <c r="C945" s="15"/>
      <c r="J945" s="16"/>
      <c r="L945" s="16"/>
      <c r="P945" s="16"/>
      <c r="U945" s="16"/>
    </row>
    <row r="946" spans="1:21" ht="14.25" customHeight="1">
      <c r="A946" s="14"/>
      <c r="C946" s="15"/>
      <c r="J946" s="16"/>
      <c r="L946" s="16"/>
      <c r="P946" s="16"/>
      <c r="U946" s="16"/>
    </row>
    <row r="947" spans="1:21" ht="14.25" customHeight="1">
      <c r="A947" s="14"/>
      <c r="C947" s="15"/>
      <c r="J947" s="16"/>
      <c r="L947" s="16"/>
      <c r="P947" s="16"/>
      <c r="U947" s="16"/>
    </row>
    <row r="948" spans="1:21" ht="14.25" customHeight="1">
      <c r="A948" s="14"/>
      <c r="C948" s="15"/>
      <c r="J948" s="16"/>
      <c r="L948" s="16"/>
      <c r="P948" s="16"/>
      <c r="U948" s="16"/>
    </row>
    <row r="949" spans="1:21" ht="14.25" customHeight="1">
      <c r="A949" s="14"/>
      <c r="C949" s="15"/>
      <c r="J949" s="16"/>
      <c r="L949" s="16"/>
      <c r="P949" s="16"/>
      <c r="U949" s="16"/>
    </row>
    <row r="950" spans="1:21" ht="14.25" customHeight="1">
      <c r="A950" s="14"/>
      <c r="C950" s="15"/>
      <c r="J950" s="16"/>
      <c r="L950" s="16"/>
      <c r="P950" s="16"/>
      <c r="U950" s="16"/>
    </row>
    <row r="951" spans="1:21" ht="14.25" customHeight="1">
      <c r="A951" s="14"/>
      <c r="C951" s="15"/>
      <c r="J951" s="16"/>
      <c r="L951" s="16"/>
      <c r="P951" s="16"/>
      <c r="U951" s="16"/>
    </row>
    <row r="952" spans="1:21" ht="14.25" customHeight="1">
      <c r="A952" s="14"/>
      <c r="C952" s="15"/>
      <c r="J952" s="16"/>
      <c r="L952" s="16"/>
      <c r="P952" s="16"/>
      <c r="U952" s="16"/>
    </row>
    <row r="953" spans="1:21" ht="14.25" customHeight="1">
      <c r="A953" s="14"/>
      <c r="C953" s="15"/>
      <c r="J953" s="16"/>
      <c r="L953" s="16"/>
      <c r="P953" s="16"/>
      <c r="U953" s="16"/>
    </row>
    <row r="954" spans="1:21" ht="14.25" customHeight="1">
      <c r="A954" s="14"/>
      <c r="C954" s="15"/>
      <c r="J954" s="16"/>
      <c r="L954" s="16"/>
      <c r="P954" s="16"/>
      <c r="U954" s="16"/>
    </row>
    <row r="955" spans="1:21" ht="14.25" customHeight="1">
      <c r="A955" s="14"/>
      <c r="C955" s="15"/>
      <c r="J955" s="16"/>
      <c r="L955" s="16"/>
      <c r="P955" s="16"/>
      <c r="U955" s="16"/>
    </row>
    <row r="956" spans="1:21" ht="14.25" customHeight="1">
      <c r="A956" s="14"/>
      <c r="C956" s="15"/>
      <c r="J956" s="16"/>
      <c r="L956" s="16"/>
      <c r="P956" s="16"/>
      <c r="U956" s="16"/>
    </row>
    <row r="957" spans="1:21" ht="14.25" customHeight="1">
      <c r="A957" s="14"/>
      <c r="C957" s="15"/>
      <c r="J957" s="16"/>
      <c r="L957" s="16"/>
      <c r="P957" s="16"/>
      <c r="U957" s="16"/>
    </row>
    <row r="958" spans="1:21" ht="14.25" customHeight="1">
      <c r="A958" s="14"/>
      <c r="C958" s="15"/>
      <c r="J958" s="16"/>
      <c r="L958" s="16"/>
      <c r="P958" s="16"/>
      <c r="U958" s="16"/>
    </row>
    <row r="959" spans="1:21" ht="14.25" customHeight="1">
      <c r="A959" s="14"/>
      <c r="C959" s="15"/>
      <c r="J959" s="16"/>
      <c r="L959" s="16"/>
      <c r="P959" s="16"/>
      <c r="U959" s="16"/>
    </row>
    <row r="960" spans="1:21" ht="14.25" customHeight="1">
      <c r="A960" s="14"/>
      <c r="C960" s="15"/>
      <c r="J960" s="16"/>
      <c r="L960" s="16"/>
      <c r="P960" s="16"/>
      <c r="U960" s="16"/>
    </row>
    <row r="961" spans="1:21" ht="14.25" customHeight="1">
      <c r="A961" s="14"/>
      <c r="C961" s="15"/>
      <c r="J961" s="16"/>
      <c r="L961" s="16"/>
      <c r="P961" s="16"/>
      <c r="U961" s="16"/>
    </row>
    <row r="962" spans="1:21" ht="14.25" customHeight="1">
      <c r="A962" s="14"/>
      <c r="C962" s="15"/>
      <c r="J962" s="16"/>
      <c r="L962" s="16"/>
      <c r="P962" s="16"/>
      <c r="U962" s="16"/>
    </row>
    <row r="963" spans="1:21" ht="14.25" customHeight="1">
      <c r="A963" s="14"/>
      <c r="C963" s="15"/>
      <c r="J963" s="16"/>
      <c r="L963" s="16"/>
      <c r="P963" s="16"/>
      <c r="U963" s="16"/>
    </row>
    <row r="964" spans="1:21" ht="14.25" customHeight="1">
      <c r="A964" s="14"/>
      <c r="C964" s="15"/>
      <c r="J964" s="16"/>
      <c r="L964" s="16"/>
      <c r="P964" s="16"/>
      <c r="U964" s="16"/>
    </row>
    <row r="965" spans="1:21" ht="14.25" customHeight="1">
      <c r="A965" s="14"/>
      <c r="C965" s="15"/>
      <c r="J965" s="16"/>
      <c r="L965" s="16"/>
      <c r="P965" s="16"/>
      <c r="U965" s="16"/>
    </row>
    <row r="966" spans="1:21" ht="14.25" customHeight="1">
      <c r="A966" s="14"/>
      <c r="C966" s="15"/>
      <c r="J966" s="16"/>
      <c r="L966" s="16"/>
      <c r="P966" s="16"/>
      <c r="U966" s="16"/>
    </row>
    <row r="967" spans="1:21" ht="14.25" customHeight="1">
      <c r="A967" s="14"/>
      <c r="C967" s="15"/>
      <c r="J967" s="16"/>
      <c r="L967" s="16"/>
      <c r="P967" s="16"/>
      <c r="U967" s="16"/>
    </row>
    <row r="968" spans="1:21" ht="14.25" customHeight="1">
      <c r="A968" s="14"/>
      <c r="C968" s="15"/>
      <c r="J968" s="16"/>
      <c r="L968" s="16"/>
      <c r="P968" s="16"/>
      <c r="U968" s="16"/>
    </row>
    <row r="969" spans="1:21" ht="14.25" customHeight="1">
      <c r="A969" s="14"/>
      <c r="C969" s="15"/>
      <c r="J969" s="16"/>
      <c r="L969" s="16"/>
      <c r="P969" s="16"/>
      <c r="U969" s="16"/>
    </row>
    <row r="970" spans="1:21" ht="14.25" customHeight="1">
      <c r="A970" s="14"/>
      <c r="C970" s="15"/>
      <c r="J970" s="16"/>
      <c r="L970" s="16"/>
      <c r="P970" s="16"/>
      <c r="U970" s="16"/>
    </row>
    <row r="971" spans="1:21" ht="14.25" customHeight="1">
      <c r="A971" s="14"/>
      <c r="C971" s="15"/>
      <c r="J971" s="16"/>
      <c r="L971" s="16"/>
      <c r="P971" s="16"/>
      <c r="U971" s="16"/>
    </row>
    <row r="972" spans="1:21" ht="14.25" customHeight="1">
      <c r="A972" s="14"/>
      <c r="C972" s="15"/>
      <c r="J972" s="16"/>
      <c r="L972" s="16"/>
      <c r="P972" s="16"/>
      <c r="U972" s="16"/>
    </row>
    <row r="973" spans="1:21" ht="14.25" customHeight="1">
      <c r="A973" s="14"/>
      <c r="C973" s="15"/>
      <c r="J973" s="16"/>
      <c r="L973" s="16"/>
      <c r="P973" s="16"/>
      <c r="U973" s="16"/>
    </row>
    <row r="974" spans="1:21" ht="14.25" customHeight="1">
      <c r="A974" s="14"/>
      <c r="C974" s="15"/>
      <c r="J974" s="16"/>
      <c r="L974" s="16"/>
      <c r="P974" s="16"/>
      <c r="U974" s="16"/>
    </row>
    <row r="975" spans="1:21" ht="14.25" customHeight="1">
      <c r="A975" s="14"/>
      <c r="C975" s="15"/>
      <c r="J975" s="16"/>
      <c r="L975" s="16"/>
      <c r="P975" s="16"/>
      <c r="U975" s="16"/>
    </row>
    <row r="976" spans="1:21" ht="14.25" customHeight="1">
      <c r="A976" s="14"/>
      <c r="C976" s="15"/>
      <c r="J976" s="16"/>
      <c r="L976" s="16"/>
      <c r="P976" s="16"/>
      <c r="U976" s="16"/>
    </row>
    <row r="977" spans="1:21" ht="14.25" customHeight="1">
      <c r="A977" s="14"/>
      <c r="C977" s="15"/>
      <c r="J977" s="16"/>
      <c r="L977" s="16"/>
      <c r="P977" s="16"/>
      <c r="U977" s="16"/>
    </row>
    <row r="978" spans="1:21" ht="14.25" customHeight="1">
      <c r="A978" s="14"/>
      <c r="C978" s="15"/>
      <c r="J978" s="16"/>
      <c r="L978" s="16"/>
      <c r="P978" s="16"/>
      <c r="U978" s="16"/>
    </row>
    <row r="979" spans="1:21" ht="14.25" customHeight="1">
      <c r="A979" s="14"/>
      <c r="C979" s="15"/>
      <c r="J979" s="16"/>
      <c r="L979" s="16"/>
      <c r="P979" s="16"/>
      <c r="U979" s="16"/>
    </row>
    <row r="980" spans="1:21" ht="14.25" customHeight="1">
      <c r="A980" s="14"/>
      <c r="C980" s="15"/>
      <c r="J980" s="16"/>
      <c r="L980" s="16"/>
      <c r="P980" s="16"/>
      <c r="U980" s="16"/>
    </row>
    <row r="981" spans="1:21" ht="14.25" customHeight="1">
      <c r="A981" s="14"/>
      <c r="C981" s="15"/>
      <c r="J981" s="16"/>
      <c r="L981" s="16"/>
      <c r="P981" s="16"/>
      <c r="U981" s="16"/>
    </row>
    <row r="982" spans="1:21" ht="14.25" customHeight="1">
      <c r="A982" s="14"/>
      <c r="C982" s="15"/>
      <c r="J982" s="16"/>
      <c r="L982" s="16"/>
      <c r="P982" s="16"/>
      <c r="U982" s="16"/>
    </row>
    <row r="983" spans="1:21" ht="14.25" customHeight="1">
      <c r="A983" s="14"/>
      <c r="C983" s="15"/>
      <c r="J983" s="16"/>
      <c r="L983" s="16"/>
      <c r="P983" s="16"/>
      <c r="U983" s="16"/>
    </row>
    <row r="984" spans="1:21" ht="14.25" customHeight="1">
      <c r="A984" s="14"/>
      <c r="C984" s="15"/>
      <c r="J984" s="16"/>
      <c r="L984" s="16"/>
      <c r="P984" s="16"/>
      <c r="U984" s="16"/>
    </row>
    <row r="985" spans="1:21" ht="14.25" customHeight="1">
      <c r="A985" s="14"/>
      <c r="C985" s="15"/>
      <c r="J985" s="16"/>
      <c r="L985" s="16"/>
      <c r="P985" s="16"/>
      <c r="U985" s="16"/>
    </row>
    <row r="986" spans="1:21" ht="14.25" customHeight="1">
      <c r="A986" s="14"/>
      <c r="C986" s="15"/>
      <c r="J986" s="16"/>
      <c r="L986" s="16"/>
      <c r="P986" s="16"/>
      <c r="U986" s="16"/>
    </row>
    <row r="987" spans="1:21" ht="14.25" customHeight="1">
      <c r="A987" s="14"/>
      <c r="C987" s="15"/>
      <c r="J987" s="16"/>
      <c r="L987" s="16"/>
      <c r="P987" s="16"/>
      <c r="U987" s="16"/>
    </row>
    <row r="988" spans="1:21" ht="14.25" customHeight="1">
      <c r="A988" s="14"/>
      <c r="C988" s="15"/>
      <c r="J988" s="16"/>
      <c r="L988" s="16"/>
      <c r="P988" s="16"/>
      <c r="U988" s="16"/>
    </row>
    <row r="989" spans="1:21" ht="14.25" customHeight="1">
      <c r="A989" s="14"/>
      <c r="C989" s="15"/>
      <c r="J989" s="16"/>
      <c r="L989" s="16"/>
      <c r="P989" s="16"/>
      <c r="U989" s="16"/>
    </row>
    <row r="990" spans="1:21" ht="14.25" customHeight="1">
      <c r="A990" s="14"/>
      <c r="C990" s="15"/>
      <c r="J990" s="16"/>
      <c r="L990" s="16"/>
      <c r="P990" s="16"/>
      <c r="U990" s="16"/>
    </row>
    <row r="991" spans="1:21" ht="14.25" customHeight="1">
      <c r="A991" s="14"/>
      <c r="C991" s="15"/>
      <c r="J991" s="16"/>
      <c r="L991" s="16"/>
      <c r="P991" s="16"/>
      <c r="U991" s="16"/>
    </row>
    <row r="992" spans="1:21" ht="14.25" customHeight="1">
      <c r="A992" s="14"/>
      <c r="C992" s="15"/>
      <c r="J992" s="16"/>
      <c r="L992" s="16"/>
      <c r="P992" s="16"/>
      <c r="U992" s="16"/>
    </row>
    <row r="993" spans="1:21" ht="14.25" customHeight="1">
      <c r="A993" s="14"/>
      <c r="C993" s="15"/>
      <c r="J993" s="16"/>
      <c r="L993" s="16"/>
      <c r="P993" s="16"/>
      <c r="U993" s="16"/>
    </row>
    <row r="994" spans="1:21" ht="14.25" customHeight="1">
      <c r="A994" s="14"/>
      <c r="C994" s="15"/>
      <c r="J994" s="16"/>
      <c r="L994" s="16"/>
      <c r="P994" s="16"/>
      <c r="U994" s="16"/>
    </row>
    <row r="995" spans="1:21" ht="14.25" customHeight="1">
      <c r="A995" s="14"/>
      <c r="C995" s="15"/>
      <c r="J995" s="16"/>
      <c r="L995" s="16"/>
      <c r="P995" s="16"/>
      <c r="U995" s="16"/>
    </row>
    <row r="996" spans="1:21" ht="14.25" customHeight="1">
      <c r="A996" s="14"/>
      <c r="C996" s="15"/>
      <c r="J996" s="16"/>
      <c r="L996" s="16"/>
      <c r="P996" s="16"/>
      <c r="U996" s="16"/>
    </row>
    <row r="997" spans="1:21" ht="14.25" customHeight="1">
      <c r="A997" s="14"/>
      <c r="C997" s="15"/>
      <c r="J997" s="16"/>
      <c r="L997" s="16"/>
      <c r="P997" s="16"/>
      <c r="U997" s="16"/>
    </row>
    <row r="998" spans="1:21" ht="14.25" customHeight="1">
      <c r="A998" s="14"/>
      <c r="C998" s="15"/>
      <c r="J998" s="16"/>
      <c r="L998" s="16"/>
      <c r="P998" s="16"/>
      <c r="U998" s="16"/>
    </row>
    <row r="999" spans="1:21" ht="14.25" customHeight="1">
      <c r="A999" s="14"/>
      <c r="C999" s="15"/>
      <c r="J999" s="16"/>
      <c r="L999" s="16"/>
      <c r="P999" s="16"/>
      <c r="U999" s="16"/>
    </row>
    <row r="1000" spans="1:21" ht="14.25" customHeight="1">
      <c r="A1000" s="14"/>
      <c r="C1000" s="15"/>
      <c r="J1000" s="16"/>
      <c r="L1000" s="16"/>
      <c r="P1000" s="16"/>
      <c r="U1000" s="16"/>
    </row>
  </sheetData>
  <hyperlinks>
    <hyperlink ref="D1" r:id="rId1"/>
    <hyperlink ref="E1" r:id="rId2"/>
    <hyperlink ref="F1" r:id="rId3"/>
    <hyperlink ref="G1" r:id="rId4"/>
    <hyperlink ref="H1" r:id="rId5"/>
    <hyperlink ref="I1" r:id="rId6"/>
    <hyperlink ref="J1" r:id="rId7"/>
    <hyperlink ref="K1" r:id="rId8"/>
    <hyperlink ref="L1" r:id="rId9"/>
    <hyperlink ref="M1" r:id="rId10"/>
    <hyperlink ref="N1" r:id="rId11"/>
    <hyperlink ref="O1" r:id="rId12"/>
    <hyperlink ref="P1" r:id="rId13"/>
    <hyperlink ref="Q1" r:id="rId14"/>
    <hyperlink ref="R1" r:id="rId15"/>
    <hyperlink ref="S1" r:id="rId16"/>
    <hyperlink ref="T1" r:id="rId17"/>
    <hyperlink ref="U1" r:id="rId18"/>
    <hyperlink ref="K13" r:id="rId19" display="https://open.leidenranking.com/ranking/2025/university/3711/publication/"/>
    <hyperlink ref="K39" r:id="rId20" display="https://open.leidenranking.com/ranking/2025/university/10445/publication/"/>
    <hyperlink ref="K45" r:id="rId21" display="https://open.leidenranking.com/ranking/2025/university/53925/publication/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Hamzah AlAbar</dc:creator>
  <cp:lastModifiedBy>Hamzah AlAbar</cp:lastModifiedBy>
  <dcterms:created xsi:type="dcterms:W3CDTF">2015-06-05T18:17:20Z</dcterms:created>
  <dcterms:modified xsi:type="dcterms:W3CDTF">2026-07-20T21:48:31Z</dcterms:modified>
</cp:coreProperties>
</file>